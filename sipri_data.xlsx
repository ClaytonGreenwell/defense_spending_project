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claygree_iu_edu/Documents/Desktop/Luddy Stuff/Capstone/"/>
    </mc:Choice>
  </mc:AlternateContent>
  <xr:revisionPtr revIDLastSave="2407" documentId="8_{9E038036-BA3F-4879-A4E2-71D72D096D3B}" xr6:coauthVersionLast="47" xr6:coauthVersionMax="47" xr10:uidLastSave="{03006744-1AE7-4020-84AB-D5FADB5E4A3F}"/>
  <bookViews>
    <workbookView xWindow="-120" yWindow="-120" windowWidth="29040" windowHeight="15720" activeTab="4" xr2:uid="{336C3657-218C-444C-9E72-EE3C63FFB85B}"/>
  </bookViews>
  <sheets>
    <sheet name="main" sheetId="2" r:id="rId1"/>
    <sheet name="GPR_Index" sheetId="3" r:id="rId2"/>
    <sheet name="%_GDP" sheetId="1" r:id="rId3"/>
    <sheet name="GPR_Index_Long" sheetId="5" r:id="rId4"/>
    <sheet name="long_data" sheetId="7" r:id="rId5"/>
    <sheet name="2021" sheetId="8" r:id="rId6"/>
  </sheets>
  <definedNames>
    <definedName name="_xlnm._FilterDatabase" localSheetId="2" hidden="1">'%_GDP'!$A$1:$I$46</definedName>
    <definedName name="_xlnm._FilterDatabase" localSheetId="1" hidden="1">GPR_Index!$A$1:$G$46</definedName>
    <definedName name="_xlnm._FilterDatabase" localSheetId="3" hidden="1">GPR_Index_Long!$A$1:$D$73</definedName>
    <definedName name="_xlnm._FilterDatabase" localSheetId="4" hidden="1">long_data!$A$1:$S$181</definedName>
    <definedName name="_xlnm._FilterDatabase" localSheetId="0" hidden="1">main!$A$1:$H$46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7" l="1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F13" i="3"/>
  <c r="F15" i="3"/>
  <c r="F16" i="3"/>
  <c r="F18" i="3"/>
  <c r="F20" i="3"/>
  <c r="F23" i="3"/>
  <c r="F31" i="3"/>
  <c r="F33" i="3"/>
  <c r="F34" i="3"/>
  <c r="F35" i="3"/>
  <c r="F37" i="3"/>
  <c r="F41" i="3"/>
  <c r="F42" i="3"/>
  <c r="F43" i="3"/>
  <c r="F44" i="3"/>
  <c r="F45" i="3"/>
  <c r="F46" i="3"/>
  <c r="F7" i="3"/>
  <c r="H38" i="1"/>
  <c r="H8" i="1"/>
  <c r="H29" i="1"/>
  <c r="H6" i="1"/>
  <c r="H37" i="1"/>
  <c r="H24" i="1"/>
  <c r="H45" i="1"/>
  <c r="H17" i="1"/>
  <c r="H3" i="1"/>
  <c r="H5" i="1"/>
  <c r="H43" i="1"/>
  <c r="H22" i="1"/>
  <c r="H28" i="1"/>
  <c r="H11" i="1"/>
  <c r="H4" i="1"/>
  <c r="H12" i="1"/>
  <c r="H2" i="1"/>
  <c r="H7" i="1"/>
  <c r="H9" i="1"/>
  <c r="H10" i="1"/>
  <c r="H13" i="1"/>
  <c r="H14" i="1"/>
  <c r="H15" i="1"/>
  <c r="H16" i="1"/>
  <c r="H18" i="1"/>
  <c r="H19" i="1"/>
  <c r="H20" i="1"/>
  <c r="H21" i="1"/>
  <c r="H23" i="1"/>
  <c r="H25" i="1"/>
  <c r="H26" i="1"/>
  <c r="H27" i="1"/>
  <c r="H30" i="1"/>
  <c r="H31" i="1"/>
  <c r="H32" i="1"/>
  <c r="H33" i="1"/>
  <c r="H34" i="1"/>
  <c r="H35" i="1"/>
  <c r="H36" i="1"/>
  <c r="H39" i="1"/>
  <c r="H40" i="1"/>
  <c r="H41" i="1"/>
  <c r="H42" i="1"/>
  <c r="H44" i="1"/>
  <c r="H46" i="1"/>
</calcChain>
</file>

<file path=xl/sharedStrings.xml><?xml version="1.0" encoding="utf-8"?>
<sst xmlns="http://schemas.openxmlformats.org/spreadsheetml/2006/main" count="728" uniqueCount="131">
  <si>
    <t>capital</t>
  </si>
  <si>
    <t>country</t>
  </si>
  <si>
    <t>aerial_distance_moscow</t>
  </si>
  <si>
    <t>Albania</t>
  </si>
  <si>
    <t>Tirana</t>
  </si>
  <si>
    <t>Belgium</t>
  </si>
  <si>
    <t>Brussels</t>
  </si>
  <si>
    <t>Bulgaria</t>
  </si>
  <si>
    <t>Sofia</t>
  </si>
  <si>
    <t>Croatia</t>
  </si>
  <si>
    <t>Zagreb</t>
  </si>
  <si>
    <t>Czech Republic</t>
  </si>
  <si>
    <t>Prague</t>
  </si>
  <si>
    <t>Denmark</t>
  </si>
  <si>
    <t>Copenhagen</t>
  </si>
  <si>
    <t>Estonia</t>
  </si>
  <si>
    <t>Tallinn</t>
  </si>
  <si>
    <t>Finland</t>
  </si>
  <si>
    <t>Helsinki</t>
  </si>
  <si>
    <t>France</t>
  </si>
  <si>
    <t>Paris</t>
  </si>
  <si>
    <t>Germany</t>
  </si>
  <si>
    <t>Berlin</t>
  </si>
  <si>
    <t>Greece</t>
  </si>
  <si>
    <t>Athens</t>
  </si>
  <si>
    <t>Hungary</t>
  </si>
  <si>
    <t>Budapest</t>
  </si>
  <si>
    <t>Iceland</t>
  </si>
  <si>
    <t>Reykjavík</t>
  </si>
  <si>
    <t>Italy</t>
  </si>
  <si>
    <t>Rome</t>
  </si>
  <si>
    <t>Latvia</t>
  </si>
  <si>
    <t>Riga</t>
  </si>
  <si>
    <t>Lithuania</t>
  </si>
  <si>
    <t>Vilnius</t>
  </si>
  <si>
    <t>Luxembourg</t>
  </si>
  <si>
    <t>Montenegro</t>
  </si>
  <si>
    <t>Podgorica</t>
  </si>
  <si>
    <t>Netherlands</t>
  </si>
  <si>
    <t>Amsterdam</t>
  </si>
  <si>
    <t>North Macedonia</t>
  </si>
  <si>
    <t>Skopje</t>
  </si>
  <si>
    <t>Norway</t>
  </si>
  <si>
    <t>Oslo</t>
  </si>
  <si>
    <t>Poland</t>
  </si>
  <si>
    <t>Warsaw</t>
  </si>
  <si>
    <t>Portugal</t>
  </si>
  <si>
    <t>Lisbon</t>
  </si>
  <si>
    <t>Romania</t>
  </si>
  <si>
    <t>Bucharest</t>
  </si>
  <si>
    <t>Slovakia</t>
  </si>
  <si>
    <t>Bratislava</t>
  </si>
  <si>
    <t>Slovenia</t>
  </si>
  <si>
    <t>Ljubljana</t>
  </si>
  <si>
    <t>Spain</t>
  </si>
  <si>
    <t>Madrid</t>
  </si>
  <si>
    <t>Sweden</t>
  </si>
  <si>
    <t>Stockholm</t>
  </si>
  <si>
    <t>Turkey</t>
  </si>
  <si>
    <t>Ankara</t>
  </si>
  <si>
    <t>United Kingdom</t>
  </si>
  <si>
    <t>London</t>
  </si>
  <si>
    <t>Average</t>
  </si>
  <si>
    <t>Is in NATO?</t>
  </si>
  <si>
    <t>Austria</t>
  </si>
  <si>
    <t>Switzerland</t>
  </si>
  <si>
    <t>Ireland</t>
  </si>
  <si>
    <t>Malta</t>
  </si>
  <si>
    <t>Cyprus</t>
  </si>
  <si>
    <t>Serbia</t>
  </si>
  <si>
    <t>Bosnia and Herzegovina</t>
  </si>
  <si>
    <t>Moldova</t>
  </si>
  <si>
    <t>Belarus</t>
  </si>
  <si>
    <t>Russia</t>
  </si>
  <si>
    <t>Kosovo</t>
  </si>
  <si>
    <t>Ukraine</t>
  </si>
  <si>
    <t>Georgia</t>
  </si>
  <si>
    <t>Armenia</t>
  </si>
  <si>
    <t>Azerbaijan</t>
  </si>
  <si>
    <t>Vienna</t>
  </si>
  <si>
    <t>Bern</t>
  </si>
  <si>
    <t>Dublin</t>
  </si>
  <si>
    <t>Valletta</t>
  </si>
  <si>
    <t>Nicosia</t>
  </si>
  <si>
    <t>Belgrade</t>
  </si>
  <si>
    <t>Sarajevo</t>
  </si>
  <si>
    <t>Chișinău</t>
  </si>
  <si>
    <t>Minsk</t>
  </si>
  <si>
    <t>Moscow</t>
  </si>
  <si>
    <t>Pristina</t>
  </si>
  <si>
    <t>Kyiv</t>
  </si>
  <si>
    <t>Tbilisi</t>
  </si>
  <si>
    <t>Yerevan</t>
  </si>
  <si>
    <t>Baku</t>
  </si>
  <si>
    <t>is_in_nato?</t>
  </si>
  <si>
    <t>aerial_distance_moscow_km</t>
  </si>
  <si>
    <t>number_of_companies_in_sipri_top_100_2024</t>
  </si>
  <si>
    <t>average</t>
  </si>
  <si>
    <t>avg_%_gdp</t>
  </si>
  <si>
    <t>avg_gpr_index</t>
  </si>
  <si>
    <t>South Korea</t>
  </si>
  <si>
    <t>United States</t>
  </si>
  <si>
    <t>Iran</t>
  </si>
  <si>
    <t>China</t>
  </si>
  <si>
    <t>Brazil</t>
  </si>
  <si>
    <t>No imports</t>
  </si>
  <si>
    <t>Israel</t>
  </si>
  <si>
    <t>India</t>
  </si>
  <si>
    <t>is_US_top_supplier_country?</t>
  </si>
  <si>
    <t>top_supplier_country</t>
  </si>
  <si>
    <t>year</t>
  </si>
  <si>
    <t>`</t>
  </si>
  <si>
    <t>avg_%_gdp_lagged_1_year</t>
  </si>
  <si>
    <t>ME_spending_%_GDP</t>
  </si>
  <si>
    <t>GPR_index</t>
  </si>
  <si>
    <t>is_in_NATO?</t>
  </si>
  <si>
    <t>ME_%_gov_budget</t>
  </si>
  <si>
    <t>companies_in_sipri_top_100</t>
  </si>
  <si>
    <t>import_export_ratio</t>
  </si>
  <si>
    <t>import_growth_rate</t>
  </si>
  <si>
    <t>export_coverage_ratio</t>
  </si>
  <si>
    <t>ME_spending_%_GDP_growth_rate</t>
  </si>
  <si>
    <t>ME_spending_%_GDP_lagged_1_year</t>
  </si>
  <si>
    <t>India/France</t>
  </si>
  <si>
    <t>North Korea</t>
  </si>
  <si>
    <t>import_TIV_millions</t>
  </si>
  <si>
    <t>export_TIV_millions</t>
  </si>
  <si>
    <t>export_tiv_millions</t>
  </si>
  <si>
    <t>import_tiv_millions</t>
  </si>
  <si>
    <t>export_growth_rate</t>
  </si>
  <si>
    <t>ME_per_capita_in_USD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</si>
</sst>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D444-325E-4100-A8BC-8800DEF7DB2B}">
  <dimension ref="A1:H46"/>
  <sheetViews>
    <sheetView topLeftCell="A30" workbookViewId="0">
      <selection activeCell="F47" sqref="F47"/>
    </sheetView>
  </sheetViews>
  <sheetFormatPr defaultRowHeight="15" x14ac:dyDescent="0.25"/>
  <cols>
    <col min="1" max="1" width="22.5703125" bestFit="1" customWidth="1"/>
    <col min="2" max="2" width="13.28515625" bestFit="1" customWidth="1"/>
    <col min="3" max="3" width="29.28515625" bestFit="1" customWidth="1"/>
    <col min="4" max="4" width="14.5703125" bestFit="1" customWidth="1"/>
    <col min="5" max="5" width="44.42578125" bestFit="1" customWidth="1"/>
    <col min="6" max="6" width="15.7109375" bestFit="1" customWidth="1"/>
    <col min="7" max="7" width="19.42578125" bestFit="1" customWidth="1"/>
    <col min="8" max="8" width="28.85546875" bestFit="1" customWidth="1"/>
  </cols>
  <sheetData>
    <row r="1" spans="1:8" x14ac:dyDescent="0.25">
      <c r="A1" t="s">
        <v>1</v>
      </c>
      <c r="B1" t="s">
        <v>94</v>
      </c>
      <c r="C1" t="s">
        <v>95</v>
      </c>
      <c r="D1" t="s">
        <v>98</v>
      </c>
      <c r="E1" t="s">
        <v>96</v>
      </c>
      <c r="F1" t="s">
        <v>99</v>
      </c>
      <c r="G1" t="s">
        <v>109</v>
      </c>
      <c r="H1" t="s">
        <v>108</v>
      </c>
    </row>
    <row r="2" spans="1:8" x14ac:dyDescent="0.25">
      <c r="A2" t="s">
        <v>3</v>
      </c>
      <c r="B2">
        <v>1</v>
      </c>
      <c r="C2">
        <v>2058.9</v>
      </c>
      <c r="D2">
        <v>1.7292818865948991E-2</v>
      </c>
      <c r="E2">
        <v>0</v>
      </c>
      <c r="G2" t="s">
        <v>29</v>
      </c>
      <c r="H2">
        <v>0</v>
      </c>
    </row>
    <row r="3" spans="1:8" x14ac:dyDescent="0.25">
      <c r="A3" t="s">
        <v>77</v>
      </c>
      <c r="B3">
        <v>0</v>
      </c>
      <c r="C3">
        <v>1804.07</v>
      </c>
      <c r="D3">
        <v>5.2864632225368961E-2</v>
      </c>
      <c r="E3">
        <v>0</v>
      </c>
      <c r="G3" t="s">
        <v>107</v>
      </c>
      <c r="H3">
        <v>0</v>
      </c>
    </row>
    <row r="4" spans="1:8" x14ac:dyDescent="0.25">
      <c r="A4" t="s">
        <v>64</v>
      </c>
      <c r="B4">
        <v>0</v>
      </c>
      <c r="C4">
        <v>1669.7</v>
      </c>
      <c r="D4">
        <v>9.2948353178907983E-3</v>
      </c>
      <c r="E4">
        <v>0</v>
      </c>
      <c r="G4" t="s">
        <v>29</v>
      </c>
      <c r="H4">
        <v>0</v>
      </c>
    </row>
    <row r="5" spans="1:8" x14ac:dyDescent="0.25">
      <c r="A5" t="s">
        <v>78</v>
      </c>
      <c r="B5">
        <v>0</v>
      </c>
      <c r="C5">
        <v>1927.38</v>
      </c>
      <c r="D5">
        <v>5.065213694914359E-2</v>
      </c>
      <c r="E5">
        <v>0</v>
      </c>
      <c r="G5" t="s">
        <v>103</v>
      </c>
      <c r="H5">
        <v>0</v>
      </c>
    </row>
    <row r="6" spans="1:8" x14ac:dyDescent="0.25">
      <c r="A6" t="s">
        <v>72</v>
      </c>
      <c r="B6">
        <v>0</v>
      </c>
      <c r="C6">
        <v>675.76</v>
      </c>
      <c r="D6">
        <v>1.9833962408992541E-2</v>
      </c>
      <c r="E6">
        <v>0</v>
      </c>
      <c r="G6" t="s">
        <v>73</v>
      </c>
      <c r="H6">
        <v>0</v>
      </c>
    </row>
    <row r="7" spans="1:8" x14ac:dyDescent="0.25">
      <c r="A7" t="s">
        <v>5</v>
      </c>
      <c r="B7">
        <v>1</v>
      </c>
      <c r="C7">
        <v>2252.9899999999998</v>
      </c>
      <c r="D7">
        <v>1.4060829859502343E-2</v>
      </c>
      <c r="E7">
        <v>0</v>
      </c>
      <c r="F7">
        <v>0.28999999999999998</v>
      </c>
      <c r="G7" t="s">
        <v>101</v>
      </c>
      <c r="H7">
        <v>1</v>
      </c>
    </row>
    <row r="8" spans="1:8" x14ac:dyDescent="0.25">
      <c r="A8" t="s">
        <v>70</v>
      </c>
      <c r="B8">
        <v>0</v>
      </c>
      <c r="C8">
        <v>1898.45</v>
      </c>
      <c r="D8">
        <v>7.57086695048673E-3</v>
      </c>
      <c r="E8">
        <v>0</v>
      </c>
      <c r="G8" t="s">
        <v>58</v>
      </c>
      <c r="H8">
        <v>0</v>
      </c>
    </row>
    <row r="9" spans="1:8" x14ac:dyDescent="0.25">
      <c r="A9" t="s">
        <v>7</v>
      </c>
      <c r="B9">
        <v>1</v>
      </c>
      <c r="C9">
        <v>1777.41</v>
      </c>
      <c r="D9">
        <v>1.8690960094068693E-2</v>
      </c>
      <c r="E9">
        <v>0</v>
      </c>
      <c r="G9" t="s">
        <v>101</v>
      </c>
      <c r="H9">
        <v>1</v>
      </c>
    </row>
    <row r="10" spans="1:8" x14ac:dyDescent="0.25">
      <c r="A10" t="s">
        <v>9</v>
      </c>
      <c r="B10">
        <v>1</v>
      </c>
      <c r="C10">
        <v>1867.28</v>
      </c>
      <c r="D10">
        <v>1.8326828707174208E-2</v>
      </c>
      <c r="E10">
        <v>0</v>
      </c>
      <c r="G10" t="s">
        <v>19</v>
      </c>
      <c r="H10">
        <v>0</v>
      </c>
    </row>
    <row r="11" spans="1:8" x14ac:dyDescent="0.25">
      <c r="A11" t="s">
        <v>68</v>
      </c>
      <c r="B11">
        <v>0</v>
      </c>
      <c r="C11">
        <v>2309.9699999999998</v>
      </c>
      <c r="D11">
        <v>1.6231335137865305E-2</v>
      </c>
      <c r="E11">
        <v>0</v>
      </c>
      <c r="G11" t="s">
        <v>106</v>
      </c>
      <c r="H11">
        <v>0</v>
      </c>
    </row>
    <row r="12" spans="1:8" x14ac:dyDescent="0.25">
      <c r="A12" t="s">
        <v>11</v>
      </c>
      <c r="B12">
        <v>1</v>
      </c>
      <c r="C12">
        <v>1667.65</v>
      </c>
      <c r="D12">
        <v>1.5786817637843103E-2</v>
      </c>
      <c r="E12">
        <v>1</v>
      </c>
      <c r="G12" t="s">
        <v>101</v>
      </c>
      <c r="H12">
        <v>1</v>
      </c>
    </row>
    <row r="13" spans="1:8" x14ac:dyDescent="0.25">
      <c r="A13" t="s">
        <v>13</v>
      </c>
      <c r="B13">
        <v>1</v>
      </c>
      <c r="C13">
        <v>1560.42</v>
      </c>
      <c r="D13">
        <v>2.2253807701946227E-2</v>
      </c>
      <c r="E13">
        <v>0</v>
      </c>
      <c r="F13">
        <v>8.7499999999999994E-2</v>
      </c>
      <c r="G13" t="s">
        <v>101</v>
      </c>
      <c r="H13">
        <v>1</v>
      </c>
    </row>
    <row r="14" spans="1:8" x14ac:dyDescent="0.25">
      <c r="A14" t="s">
        <v>15</v>
      </c>
      <c r="B14">
        <v>1</v>
      </c>
      <c r="C14">
        <v>866.96</v>
      </c>
      <c r="D14">
        <v>2.9507424661505816E-2</v>
      </c>
      <c r="E14">
        <v>0</v>
      </c>
      <c r="G14" t="s">
        <v>101</v>
      </c>
      <c r="H14">
        <v>1</v>
      </c>
    </row>
    <row r="15" spans="1:8" x14ac:dyDescent="0.25">
      <c r="A15" t="s">
        <v>17</v>
      </c>
      <c r="B15">
        <v>1</v>
      </c>
      <c r="C15">
        <v>892.29</v>
      </c>
      <c r="D15">
        <v>2.0867072330396929E-2</v>
      </c>
      <c r="E15">
        <v>0</v>
      </c>
      <c r="F15">
        <v>0.13250000000000001</v>
      </c>
      <c r="G15" t="s">
        <v>106</v>
      </c>
      <c r="H15">
        <v>0</v>
      </c>
    </row>
    <row r="16" spans="1:8" x14ac:dyDescent="0.25">
      <c r="A16" t="s">
        <v>19</v>
      </c>
      <c r="B16">
        <v>1</v>
      </c>
      <c r="C16">
        <v>2486.25</v>
      </c>
      <c r="D16">
        <v>1.9862906641928163E-2</v>
      </c>
      <c r="E16">
        <v>5</v>
      </c>
      <c r="F16">
        <v>0.76249999999999996</v>
      </c>
      <c r="G16" t="s">
        <v>29</v>
      </c>
      <c r="H16">
        <v>0</v>
      </c>
    </row>
    <row r="17" spans="1:8" x14ac:dyDescent="0.25">
      <c r="A17" t="s">
        <v>76</v>
      </c>
      <c r="B17">
        <v>0</v>
      </c>
      <c r="C17">
        <v>1646.21</v>
      </c>
      <c r="D17">
        <v>1.6480975581550702E-2</v>
      </c>
      <c r="E17">
        <v>0</v>
      </c>
      <c r="G17" t="s">
        <v>58</v>
      </c>
      <c r="H17">
        <v>0</v>
      </c>
    </row>
    <row r="18" spans="1:8" x14ac:dyDescent="0.25">
      <c r="A18" t="s">
        <v>21</v>
      </c>
      <c r="B18">
        <v>1</v>
      </c>
      <c r="C18">
        <v>1608.83</v>
      </c>
      <c r="D18">
        <v>1.7366088539104971E-2</v>
      </c>
      <c r="E18">
        <v>5</v>
      </c>
      <c r="F18">
        <v>0.79499999999999993</v>
      </c>
      <c r="G18" t="s">
        <v>106</v>
      </c>
      <c r="H18">
        <v>0</v>
      </c>
    </row>
    <row r="19" spans="1:8" x14ac:dyDescent="0.25">
      <c r="A19" t="s">
        <v>23</v>
      </c>
      <c r="B19">
        <v>1</v>
      </c>
      <c r="C19">
        <v>2231.02</v>
      </c>
      <c r="D19">
        <v>3.1949905144417076E-2</v>
      </c>
      <c r="E19">
        <v>0</v>
      </c>
      <c r="G19" t="s">
        <v>19</v>
      </c>
      <c r="H19">
        <v>0</v>
      </c>
    </row>
    <row r="20" spans="1:8" x14ac:dyDescent="0.25">
      <c r="A20" t="s">
        <v>25</v>
      </c>
      <c r="B20">
        <v>1</v>
      </c>
      <c r="C20">
        <v>1569.15</v>
      </c>
      <c r="D20">
        <v>2.0111882193981266E-2</v>
      </c>
      <c r="E20">
        <v>0</v>
      </c>
      <c r="F20">
        <v>0.13</v>
      </c>
      <c r="G20" t="s">
        <v>21</v>
      </c>
      <c r="H20">
        <v>0</v>
      </c>
    </row>
    <row r="21" spans="1:8" x14ac:dyDescent="0.25">
      <c r="A21" t="s">
        <v>27</v>
      </c>
      <c r="B21">
        <v>1</v>
      </c>
      <c r="C21">
        <v>3307.63</v>
      </c>
      <c r="D21">
        <v>0</v>
      </c>
      <c r="E21">
        <v>0</v>
      </c>
      <c r="G21" t="s">
        <v>105</v>
      </c>
    </row>
    <row r="22" spans="1:8" x14ac:dyDescent="0.25">
      <c r="A22" t="s">
        <v>66</v>
      </c>
      <c r="B22">
        <v>0</v>
      </c>
      <c r="C22">
        <v>2794.41</v>
      </c>
      <c r="D22">
        <v>2.1861999968685259E-3</v>
      </c>
      <c r="E22">
        <v>0</v>
      </c>
      <c r="G22" t="s">
        <v>54</v>
      </c>
      <c r="H22">
        <v>0</v>
      </c>
    </row>
    <row r="23" spans="1:8" x14ac:dyDescent="0.25">
      <c r="A23" t="s">
        <v>29</v>
      </c>
      <c r="B23">
        <v>1</v>
      </c>
      <c r="C23">
        <v>2375.33</v>
      </c>
      <c r="D23">
        <v>1.6535874377356888E-2</v>
      </c>
      <c r="E23">
        <v>2.25</v>
      </c>
      <c r="F23">
        <v>0.24249999999999999</v>
      </c>
      <c r="G23" t="s">
        <v>101</v>
      </c>
      <c r="H23">
        <v>1</v>
      </c>
    </row>
    <row r="24" spans="1:8" x14ac:dyDescent="0.25">
      <c r="A24" t="s">
        <v>74</v>
      </c>
      <c r="B24">
        <v>0</v>
      </c>
      <c r="C24">
        <v>1873.73</v>
      </c>
      <c r="D24">
        <v>1.4387645918452409E-2</v>
      </c>
      <c r="E24">
        <v>0</v>
      </c>
      <c r="G24" t="s">
        <v>58</v>
      </c>
      <c r="H24">
        <v>0</v>
      </c>
    </row>
    <row r="25" spans="1:8" x14ac:dyDescent="0.25">
      <c r="A25" t="s">
        <v>31</v>
      </c>
      <c r="B25">
        <v>1</v>
      </c>
      <c r="C25">
        <v>841.57</v>
      </c>
      <c r="D25">
        <v>3.0233651490707884E-2</v>
      </c>
      <c r="E25">
        <v>0</v>
      </c>
      <c r="G25" t="s">
        <v>17</v>
      </c>
      <c r="H25">
        <v>0</v>
      </c>
    </row>
    <row r="26" spans="1:8" x14ac:dyDescent="0.25">
      <c r="A26" t="s">
        <v>33</v>
      </c>
      <c r="B26">
        <v>1</v>
      </c>
      <c r="C26">
        <v>790.41</v>
      </c>
      <c r="D26">
        <v>2.9048132324416526E-2</v>
      </c>
      <c r="E26">
        <v>0</v>
      </c>
      <c r="G26" t="s">
        <v>101</v>
      </c>
      <c r="H26">
        <v>1</v>
      </c>
    </row>
    <row r="27" spans="1:8" x14ac:dyDescent="0.25">
      <c r="A27" t="s">
        <v>35</v>
      </c>
      <c r="B27">
        <v>1</v>
      </c>
      <c r="C27">
        <v>2207.44</v>
      </c>
      <c r="D27">
        <v>6.9029817986096288E-3</v>
      </c>
      <c r="E27">
        <v>0</v>
      </c>
      <c r="G27" t="s">
        <v>65</v>
      </c>
      <c r="H27">
        <v>0</v>
      </c>
    </row>
    <row r="28" spans="1:8" x14ac:dyDescent="0.25">
      <c r="A28" t="s">
        <v>67</v>
      </c>
      <c r="B28">
        <v>0</v>
      </c>
      <c r="C28">
        <v>2814.65</v>
      </c>
      <c r="D28">
        <v>4.0495580689334267E-3</v>
      </c>
      <c r="E28">
        <v>0</v>
      </c>
      <c r="G28" t="s">
        <v>29</v>
      </c>
      <c r="H28">
        <v>0</v>
      </c>
    </row>
    <row r="29" spans="1:8" x14ac:dyDescent="0.25">
      <c r="A29" t="s">
        <v>71</v>
      </c>
      <c r="B29">
        <v>0</v>
      </c>
      <c r="C29">
        <v>1144.6099999999999</v>
      </c>
      <c r="D29">
        <v>5.2157281527898062E-3</v>
      </c>
      <c r="E29">
        <v>0</v>
      </c>
      <c r="G29" t="s">
        <v>19</v>
      </c>
      <c r="H29">
        <v>0</v>
      </c>
    </row>
    <row r="30" spans="1:8" x14ac:dyDescent="0.25">
      <c r="A30" t="s">
        <v>36</v>
      </c>
      <c r="B30">
        <v>1</v>
      </c>
      <c r="C30">
        <v>1983.23</v>
      </c>
      <c r="D30">
        <v>1.6920362946973945E-2</v>
      </c>
      <c r="E30">
        <v>0</v>
      </c>
      <c r="G30" t="s">
        <v>101</v>
      </c>
      <c r="H30">
        <v>1</v>
      </c>
    </row>
    <row r="31" spans="1:8" x14ac:dyDescent="0.25">
      <c r="A31" t="s">
        <v>38</v>
      </c>
      <c r="B31">
        <v>1</v>
      </c>
      <c r="C31">
        <v>2146.98</v>
      </c>
      <c r="D31">
        <v>1.7202016024594664E-2</v>
      </c>
      <c r="E31">
        <v>0</v>
      </c>
      <c r="F31">
        <v>0.13750000000000001</v>
      </c>
      <c r="G31" t="s">
        <v>101</v>
      </c>
      <c r="H31">
        <v>1</v>
      </c>
    </row>
    <row r="32" spans="1:8" x14ac:dyDescent="0.25">
      <c r="A32" t="s">
        <v>40</v>
      </c>
      <c r="B32">
        <v>1</v>
      </c>
      <c r="C32">
        <v>1924.4</v>
      </c>
      <c r="D32">
        <v>1.7472330950349616E-2</v>
      </c>
      <c r="E32">
        <v>0</v>
      </c>
      <c r="G32" t="s">
        <v>101</v>
      </c>
      <c r="H32">
        <v>1</v>
      </c>
    </row>
    <row r="33" spans="1:8" x14ac:dyDescent="0.25">
      <c r="A33" t="s">
        <v>42</v>
      </c>
      <c r="B33">
        <v>1</v>
      </c>
      <c r="C33">
        <v>1643.22</v>
      </c>
      <c r="D33">
        <v>2.1975496482732317E-2</v>
      </c>
      <c r="E33">
        <v>1</v>
      </c>
      <c r="F33">
        <v>0.1225</v>
      </c>
      <c r="G33" t="s">
        <v>101</v>
      </c>
      <c r="H33">
        <v>1</v>
      </c>
    </row>
    <row r="34" spans="1:8" x14ac:dyDescent="0.25">
      <c r="A34" t="s">
        <v>44</v>
      </c>
      <c r="B34">
        <v>1</v>
      </c>
      <c r="C34">
        <v>1150.7</v>
      </c>
      <c r="D34">
        <v>3.4282413366139394E-2</v>
      </c>
      <c r="E34">
        <v>1</v>
      </c>
      <c r="F34">
        <v>0.32250000000000001</v>
      </c>
      <c r="G34" t="s">
        <v>100</v>
      </c>
      <c r="H34">
        <v>0</v>
      </c>
    </row>
    <row r="35" spans="1:8" x14ac:dyDescent="0.25">
      <c r="A35" t="s">
        <v>46</v>
      </c>
      <c r="B35">
        <v>1</v>
      </c>
      <c r="C35">
        <v>3905.89</v>
      </c>
      <c r="D35">
        <v>1.4303777051986044E-2</v>
      </c>
      <c r="E35">
        <v>0</v>
      </c>
      <c r="F35">
        <v>2.5000000000000001E-2</v>
      </c>
      <c r="G35" t="s">
        <v>104</v>
      </c>
      <c r="H35">
        <v>0</v>
      </c>
    </row>
    <row r="36" spans="1:8" x14ac:dyDescent="0.25">
      <c r="A36" t="s">
        <v>48</v>
      </c>
      <c r="B36">
        <v>1</v>
      </c>
      <c r="C36">
        <v>1499.57</v>
      </c>
      <c r="D36">
        <v>1.9571222047149492E-2</v>
      </c>
      <c r="E36">
        <v>0</v>
      </c>
      <c r="G36" t="s">
        <v>101</v>
      </c>
      <c r="H36">
        <v>1</v>
      </c>
    </row>
    <row r="37" spans="1:8" x14ac:dyDescent="0.25">
      <c r="A37" t="s">
        <v>73</v>
      </c>
      <c r="B37">
        <v>0</v>
      </c>
      <c r="C37">
        <v>0</v>
      </c>
      <c r="D37">
        <v>6.0507986472298977E-2</v>
      </c>
      <c r="E37">
        <v>2</v>
      </c>
      <c r="F37">
        <v>2.2149999999999999</v>
      </c>
      <c r="G37" t="s">
        <v>102</v>
      </c>
      <c r="H37">
        <v>0</v>
      </c>
    </row>
    <row r="38" spans="1:8" x14ac:dyDescent="0.25">
      <c r="A38" t="s">
        <v>69</v>
      </c>
      <c r="B38">
        <v>0</v>
      </c>
      <c r="C38">
        <v>1716.28</v>
      </c>
      <c r="D38">
        <v>2.4509250711063104E-2</v>
      </c>
      <c r="E38">
        <v>0</v>
      </c>
      <c r="G38" t="s">
        <v>103</v>
      </c>
      <c r="H38">
        <v>0</v>
      </c>
    </row>
    <row r="39" spans="1:8" x14ac:dyDescent="0.25">
      <c r="A39" t="s">
        <v>50</v>
      </c>
      <c r="B39">
        <v>1</v>
      </c>
      <c r="C39">
        <v>1631.23</v>
      </c>
      <c r="D39">
        <v>1.8823649952063704E-2</v>
      </c>
      <c r="E39">
        <v>0</v>
      </c>
      <c r="G39" t="s">
        <v>101</v>
      </c>
      <c r="H39">
        <v>1</v>
      </c>
    </row>
    <row r="40" spans="1:8" x14ac:dyDescent="0.25">
      <c r="A40" t="s">
        <v>52</v>
      </c>
      <c r="B40">
        <v>1</v>
      </c>
      <c r="C40">
        <v>1932.1</v>
      </c>
      <c r="D40">
        <v>1.3745722508088129E-2</v>
      </c>
      <c r="E40">
        <v>0</v>
      </c>
      <c r="G40" t="s">
        <v>29</v>
      </c>
      <c r="H40">
        <v>0</v>
      </c>
    </row>
    <row r="41" spans="1:8" x14ac:dyDescent="0.25">
      <c r="A41" t="s">
        <v>54</v>
      </c>
      <c r="B41">
        <v>1</v>
      </c>
      <c r="C41">
        <v>3440.34</v>
      </c>
      <c r="D41">
        <v>1.6390353383868288E-2</v>
      </c>
      <c r="E41">
        <v>1.25</v>
      </c>
      <c r="F41">
        <v>0.13500000000000001</v>
      </c>
      <c r="G41" t="s">
        <v>101</v>
      </c>
      <c r="H41">
        <v>1</v>
      </c>
    </row>
    <row r="42" spans="1:8" x14ac:dyDescent="0.25">
      <c r="A42" t="s">
        <v>56</v>
      </c>
      <c r="B42">
        <v>1</v>
      </c>
      <c r="C42">
        <v>1227.06</v>
      </c>
      <c r="D42">
        <v>1.8311078874370119E-2</v>
      </c>
      <c r="E42">
        <v>1</v>
      </c>
      <c r="F42">
        <v>0.1525</v>
      </c>
      <c r="G42" t="s">
        <v>101</v>
      </c>
      <c r="H42">
        <v>1</v>
      </c>
    </row>
    <row r="43" spans="1:8" x14ac:dyDescent="0.25">
      <c r="A43" t="s">
        <v>65</v>
      </c>
      <c r="B43">
        <v>0</v>
      </c>
      <c r="C43">
        <v>2288.61</v>
      </c>
      <c r="D43">
        <v>7.1063593776385546E-3</v>
      </c>
      <c r="E43">
        <v>0</v>
      </c>
      <c r="F43">
        <v>7.4999999999999997E-2</v>
      </c>
      <c r="G43" t="s">
        <v>101</v>
      </c>
      <c r="H43">
        <v>1</v>
      </c>
    </row>
    <row r="44" spans="1:8" x14ac:dyDescent="0.25">
      <c r="A44" t="s">
        <v>58</v>
      </c>
      <c r="B44">
        <v>1</v>
      </c>
      <c r="C44">
        <v>1793.78</v>
      </c>
      <c r="D44">
        <v>1.7646606583001687E-2</v>
      </c>
      <c r="E44">
        <v>5</v>
      </c>
      <c r="F44">
        <v>0.36250000000000004</v>
      </c>
      <c r="G44" t="s">
        <v>21</v>
      </c>
      <c r="H44">
        <v>0</v>
      </c>
    </row>
    <row r="45" spans="1:8" x14ac:dyDescent="0.25">
      <c r="A45" t="s">
        <v>75</v>
      </c>
      <c r="B45">
        <v>0</v>
      </c>
      <c r="C45">
        <v>755.74</v>
      </c>
      <c r="D45">
        <v>0.33797721579848389</v>
      </c>
      <c r="E45">
        <v>1</v>
      </c>
      <c r="F45">
        <v>2.0425</v>
      </c>
      <c r="G45" t="s">
        <v>101</v>
      </c>
      <c r="H45">
        <v>1</v>
      </c>
    </row>
    <row r="46" spans="1:8" x14ac:dyDescent="0.25">
      <c r="A46" t="s">
        <v>60</v>
      </c>
      <c r="B46">
        <v>1</v>
      </c>
      <c r="C46">
        <v>2500.54</v>
      </c>
      <c r="D46">
        <v>2.2383913550309491E-2</v>
      </c>
      <c r="E46">
        <v>7.5</v>
      </c>
      <c r="F46">
        <v>1.5524999999999998</v>
      </c>
      <c r="G46" t="s">
        <v>101</v>
      </c>
      <c r="H46">
        <v>1</v>
      </c>
    </row>
  </sheetData>
  <autoFilter ref="A1:H46" xr:uid="{45A0D444-325E-4100-A8BC-8800DEF7DB2B}">
    <sortState xmlns:xlrd2="http://schemas.microsoft.com/office/spreadsheetml/2017/richdata2" ref="A2:H46">
      <sortCondition ref="A1:A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10C0-FAAB-4512-B335-36E1A225DA30}">
  <dimension ref="A1:F46"/>
  <sheetViews>
    <sheetView workbookViewId="0">
      <selection activeCell="J15" sqref="J15"/>
    </sheetView>
  </sheetViews>
  <sheetFormatPr defaultRowHeight="15" x14ac:dyDescent="0.25"/>
  <cols>
    <col min="1" max="1" width="22.5703125" bestFit="1" customWidth="1"/>
    <col min="2" max="5" width="5" bestFit="1" customWidth="1"/>
    <col min="6" max="6" width="10.140625" bestFit="1" customWidth="1"/>
  </cols>
  <sheetData>
    <row r="1" spans="1:6" x14ac:dyDescent="0.25">
      <c r="A1" t="s">
        <v>1</v>
      </c>
      <c r="B1">
        <v>2022</v>
      </c>
      <c r="C1">
        <v>2023</v>
      </c>
      <c r="D1">
        <v>2024</v>
      </c>
      <c r="E1">
        <v>2025</v>
      </c>
      <c r="F1" t="s">
        <v>97</v>
      </c>
    </row>
    <row r="2" spans="1:6" x14ac:dyDescent="0.25">
      <c r="A2" t="s">
        <v>3</v>
      </c>
    </row>
    <row r="3" spans="1:6" x14ac:dyDescent="0.25">
      <c r="A3" t="s">
        <v>77</v>
      </c>
    </row>
    <row r="4" spans="1:6" x14ac:dyDescent="0.25">
      <c r="A4" t="s">
        <v>64</v>
      </c>
    </row>
    <row r="5" spans="1:6" x14ac:dyDescent="0.25">
      <c r="A5" t="s">
        <v>78</v>
      </c>
    </row>
    <row r="6" spans="1:6" x14ac:dyDescent="0.25">
      <c r="A6" t="s">
        <v>72</v>
      </c>
    </row>
    <row r="7" spans="1:6" x14ac:dyDescent="0.25">
      <c r="A7" s="3" t="s">
        <v>5</v>
      </c>
      <c r="B7">
        <v>0.49</v>
      </c>
      <c r="C7">
        <v>0.21</v>
      </c>
      <c r="D7">
        <v>0.2</v>
      </c>
      <c r="E7">
        <v>0.26</v>
      </c>
      <c r="F7">
        <f>AVERAGE(B7:E7)</f>
        <v>0.28999999999999998</v>
      </c>
    </row>
    <row r="8" spans="1:6" x14ac:dyDescent="0.25">
      <c r="A8" t="s">
        <v>70</v>
      </c>
    </row>
    <row r="9" spans="1:6" x14ac:dyDescent="0.25">
      <c r="A9" t="s">
        <v>7</v>
      </c>
    </row>
    <row r="10" spans="1:6" x14ac:dyDescent="0.25">
      <c r="A10" t="s">
        <v>9</v>
      </c>
    </row>
    <row r="11" spans="1:6" x14ac:dyDescent="0.25">
      <c r="A11" t="s">
        <v>68</v>
      </c>
    </row>
    <row r="12" spans="1:6" x14ac:dyDescent="0.25">
      <c r="A12" t="s">
        <v>11</v>
      </c>
    </row>
    <row r="13" spans="1:6" x14ac:dyDescent="0.25">
      <c r="A13" s="3" t="s">
        <v>13</v>
      </c>
      <c r="B13">
        <v>0.09</v>
      </c>
      <c r="C13">
        <v>7.0000000000000007E-2</v>
      </c>
      <c r="D13">
        <v>0.06</v>
      </c>
      <c r="E13">
        <v>0.13</v>
      </c>
      <c r="F13">
        <f>AVERAGE(B13:E13)</f>
        <v>8.7499999999999994E-2</v>
      </c>
    </row>
    <row r="14" spans="1:6" x14ac:dyDescent="0.25">
      <c r="A14" t="s">
        <v>15</v>
      </c>
    </row>
    <row r="15" spans="1:6" x14ac:dyDescent="0.25">
      <c r="A15" s="3" t="s">
        <v>17</v>
      </c>
      <c r="B15">
        <v>0.23</v>
      </c>
      <c r="C15">
        <v>0.11</v>
      </c>
      <c r="D15">
        <v>0.08</v>
      </c>
      <c r="E15">
        <v>0.11</v>
      </c>
      <c r="F15">
        <f>AVERAGE(B15:E15)</f>
        <v>0.13250000000000001</v>
      </c>
    </row>
    <row r="16" spans="1:6" x14ac:dyDescent="0.25">
      <c r="A16" s="3" t="s">
        <v>19</v>
      </c>
      <c r="B16">
        <v>0.92</v>
      </c>
      <c r="C16">
        <v>0.59</v>
      </c>
      <c r="D16">
        <v>0.68</v>
      </c>
      <c r="E16">
        <v>0.86</v>
      </c>
      <c r="F16">
        <f>AVERAGE(B16:E16)</f>
        <v>0.76249999999999996</v>
      </c>
    </row>
    <row r="17" spans="1:6" x14ac:dyDescent="0.25">
      <c r="A17" t="s">
        <v>76</v>
      </c>
    </row>
    <row r="18" spans="1:6" x14ac:dyDescent="0.25">
      <c r="A18" s="3" t="s">
        <v>21</v>
      </c>
      <c r="B18">
        <v>1.25</v>
      </c>
      <c r="C18">
        <v>0.63</v>
      </c>
      <c r="D18">
        <v>0.56000000000000005</v>
      </c>
      <c r="E18">
        <v>0.74</v>
      </c>
      <c r="F18">
        <f>AVERAGE(B18:E18)</f>
        <v>0.79499999999999993</v>
      </c>
    </row>
    <row r="19" spans="1:6" x14ac:dyDescent="0.25">
      <c r="A19" t="s">
        <v>23</v>
      </c>
    </row>
    <row r="20" spans="1:6" x14ac:dyDescent="0.25">
      <c r="A20" s="3" t="s">
        <v>25</v>
      </c>
      <c r="B20">
        <v>0.21</v>
      </c>
      <c r="C20">
        <v>0.09</v>
      </c>
      <c r="D20">
        <v>0.1</v>
      </c>
      <c r="E20">
        <v>0.12</v>
      </c>
      <c r="F20">
        <f>AVERAGE(B20:E20)</f>
        <v>0.13</v>
      </c>
    </row>
    <row r="21" spans="1:6" x14ac:dyDescent="0.25">
      <c r="A21" t="s">
        <v>27</v>
      </c>
    </row>
    <row r="22" spans="1:6" x14ac:dyDescent="0.25">
      <c r="A22" t="s">
        <v>66</v>
      </c>
    </row>
    <row r="23" spans="1:6" x14ac:dyDescent="0.25">
      <c r="A23" s="3" t="s">
        <v>29</v>
      </c>
      <c r="B23">
        <v>0.35</v>
      </c>
      <c r="C23">
        <v>0.17</v>
      </c>
      <c r="D23">
        <v>0.19</v>
      </c>
      <c r="E23">
        <v>0.26</v>
      </c>
      <c r="F23">
        <f>AVERAGE(B23:E23)</f>
        <v>0.24249999999999999</v>
      </c>
    </row>
    <row r="24" spans="1:6" x14ac:dyDescent="0.25">
      <c r="A24" t="s">
        <v>74</v>
      </c>
    </row>
    <row r="25" spans="1:6" x14ac:dyDescent="0.25">
      <c r="A25" t="s">
        <v>31</v>
      </c>
    </row>
    <row r="26" spans="1:6" x14ac:dyDescent="0.25">
      <c r="A26" t="s">
        <v>33</v>
      </c>
    </row>
    <row r="27" spans="1:6" x14ac:dyDescent="0.25">
      <c r="A27" t="s">
        <v>35</v>
      </c>
    </row>
    <row r="28" spans="1:6" x14ac:dyDescent="0.25">
      <c r="A28" t="s">
        <v>67</v>
      </c>
    </row>
    <row r="29" spans="1:6" x14ac:dyDescent="0.25">
      <c r="A29" t="s">
        <v>71</v>
      </c>
    </row>
    <row r="30" spans="1:6" x14ac:dyDescent="0.25">
      <c r="A30" t="s">
        <v>36</v>
      </c>
    </row>
    <row r="31" spans="1:6" x14ac:dyDescent="0.25">
      <c r="A31" s="3" t="s">
        <v>38</v>
      </c>
      <c r="B31">
        <v>0.18</v>
      </c>
      <c r="C31">
        <v>0.13</v>
      </c>
      <c r="D31">
        <v>0.12</v>
      </c>
      <c r="E31">
        <v>0.12</v>
      </c>
      <c r="F31">
        <f>AVERAGE(B31:E31)</f>
        <v>0.13750000000000001</v>
      </c>
    </row>
    <row r="32" spans="1:6" x14ac:dyDescent="0.25">
      <c r="A32" t="s">
        <v>40</v>
      </c>
    </row>
    <row r="33" spans="1:6" x14ac:dyDescent="0.25">
      <c r="A33" s="3" t="s">
        <v>42</v>
      </c>
      <c r="B33">
        <v>0.16</v>
      </c>
      <c r="C33">
        <v>0.11</v>
      </c>
      <c r="D33">
        <v>0.09</v>
      </c>
      <c r="E33">
        <v>0.13</v>
      </c>
      <c r="F33">
        <f>AVERAGE(B33:E33)</f>
        <v>0.1225</v>
      </c>
    </row>
    <row r="34" spans="1:6" x14ac:dyDescent="0.25">
      <c r="A34" s="3" t="s">
        <v>44</v>
      </c>
      <c r="B34">
        <v>0.67</v>
      </c>
      <c r="C34">
        <v>0.22</v>
      </c>
      <c r="D34">
        <v>0.16</v>
      </c>
      <c r="E34">
        <v>0.24</v>
      </c>
      <c r="F34">
        <f>AVERAGE(B34:E34)</f>
        <v>0.32250000000000001</v>
      </c>
    </row>
    <row r="35" spans="1:6" x14ac:dyDescent="0.25">
      <c r="A35" s="3" t="s">
        <v>46</v>
      </c>
      <c r="B35">
        <v>0.03</v>
      </c>
      <c r="C35">
        <v>0.02</v>
      </c>
      <c r="D35">
        <v>0.02</v>
      </c>
      <c r="E35">
        <v>0.03</v>
      </c>
      <c r="F35">
        <f>AVERAGE(B35:E35)</f>
        <v>2.5000000000000001E-2</v>
      </c>
    </row>
    <row r="36" spans="1:6" x14ac:dyDescent="0.25">
      <c r="A36" t="s">
        <v>48</v>
      </c>
    </row>
    <row r="37" spans="1:6" x14ac:dyDescent="0.25">
      <c r="A37" s="3" t="s">
        <v>73</v>
      </c>
      <c r="B37">
        <v>3.69</v>
      </c>
      <c r="C37">
        <v>1.9</v>
      </c>
      <c r="D37">
        <v>1.62</v>
      </c>
      <c r="E37">
        <v>1.65</v>
      </c>
      <c r="F37">
        <f>AVERAGE(B37:E37)</f>
        <v>2.2149999999999999</v>
      </c>
    </row>
    <row r="38" spans="1:6" x14ac:dyDescent="0.25">
      <c r="A38" t="s">
        <v>69</v>
      </c>
    </row>
    <row r="39" spans="1:6" x14ac:dyDescent="0.25">
      <c r="A39" t="s">
        <v>50</v>
      </c>
    </row>
    <row r="40" spans="1:6" x14ac:dyDescent="0.25">
      <c r="A40" t="s">
        <v>52</v>
      </c>
    </row>
    <row r="41" spans="1:6" x14ac:dyDescent="0.25">
      <c r="A41" s="3" t="s">
        <v>54</v>
      </c>
      <c r="B41">
        <v>0.17</v>
      </c>
      <c r="C41">
        <v>0.11</v>
      </c>
      <c r="D41">
        <v>0.11</v>
      </c>
      <c r="E41">
        <v>0.15</v>
      </c>
      <c r="F41">
        <f>AVERAGE(B41:E41)</f>
        <v>0.13500000000000001</v>
      </c>
    </row>
    <row r="42" spans="1:6" x14ac:dyDescent="0.25">
      <c r="A42" s="3" t="s">
        <v>56</v>
      </c>
      <c r="B42">
        <v>0.23</v>
      </c>
      <c r="C42">
        <v>0.14000000000000001</v>
      </c>
      <c r="D42">
        <v>0.11</v>
      </c>
      <c r="E42">
        <v>0.13</v>
      </c>
      <c r="F42">
        <f>AVERAGE(B42:E42)</f>
        <v>0.1525</v>
      </c>
    </row>
    <row r="43" spans="1:6" x14ac:dyDescent="0.25">
      <c r="A43" s="3" t="s">
        <v>65</v>
      </c>
      <c r="B43">
        <v>0.09</v>
      </c>
      <c r="C43">
        <v>0.06</v>
      </c>
      <c r="D43">
        <v>0.08</v>
      </c>
      <c r="E43">
        <v>7.0000000000000007E-2</v>
      </c>
      <c r="F43">
        <f>AVERAGE(B43:E43)</f>
        <v>7.4999999999999997E-2</v>
      </c>
    </row>
    <row r="44" spans="1:6" x14ac:dyDescent="0.25">
      <c r="A44" s="3" t="s">
        <v>58</v>
      </c>
      <c r="B44">
        <v>0.45</v>
      </c>
      <c r="C44">
        <v>0.31</v>
      </c>
      <c r="D44">
        <v>0.32</v>
      </c>
      <c r="E44">
        <v>0.37</v>
      </c>
      <c r="F44">
        <f>AVERAGE(B44:E44)</f>
        <v>0.36250000000000004</v>
      </c>
    </row>
    <row r="45" spans="1:6" x14ac:dyDescent="0.25">
      <c r="A45" s="3" t="s">
        <v>75</v>
      </c>
      <c r="B45">
        <v>3.61</v>
      </c>
      <c r="C45">
        <v>1.75</v>
      </c>
      <c r="D45">
        <v>1.41</v>
      </c>
      <c r="E45">
        <v>1.4</v>
      </c>
      <c r="F45">
        <f>AVERAGE(B45:E45)</f>
        <v>2.0425</v>
      </c>
    </row>
    <row r="46" spans="1:6" x14ac:dyDescent="0.25">
      <c r="A46" s="3" t="s">
        <v>60</v>
      </c>
      <c r="B46">
        <v>1.77</v>
      </c>
      <c r="C46">
        <v>1.23</v>
      </c>
      <c r="D46">
        <v>1.52</v>
      </c>
      <c r="E46">
        <v>1.69</v>
      </c>
      <c r="F46">
        <f>AVERAGE(B46:E46)</f>
        <v>1.5524999999999998</v>
      </c>
    </row>
  </sheetData>
  <autoFilter ref="A1:G46" xr:uid="{0DBC10C0-FAAB-4512-B335-36E1A225DA30}">
    <sortState xmlns:xlrd2="http://schemas.microsoft.com/office/spreadsheetml/2017/richdata2" ref="A2:F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A21-4DAE-4263-9D08-617126A0C902}">
  <dimension ref="A1:K46"/>
  <sheetViews>
    <sheetView workbookViewId="0">
      <selection activeCell="H11" sqref="H11"/>
    </sheetView>
  </sheetViews>
  <sheetFormatPr defaultRowHeight="15" x14ac:dyDescent="0.25"/>
  <cols>
    <col min="1" max="1" width="22.5703125" bestFit="1" customWidth="1"/>
    <col min="2" max="2" width="12" bestFit="1" customWidth="1"/>
    <col min="3" max="3" width="23.28515625" bestFit="1" customWidth="1"/>
    <col min="4" max="4" width="12" bestFit="1" customWidth="1"/>
    <col min="8" max="8" width="12.42578125" bestFit="1" customWidth="1"/>
    <col min="9" max="9" width="13.42578125" bestFit="1" customWidth="1"/>
    <col min="10" max="10" width="18" bestFit="1" customWidth="1"/>
    <col min="11" max="11" width="25" bestFit="1" customWidth="1"/>
  </cols>
  <sheetData>
    <row r="1" spans="1:9" x14ac:dyDescent="0.25">
      <c r="A1" t="s">
        <v>1</v>
      </c>
      <c r="B1" t="s">
        <v>0</v>
      </c>
      <c r="C1" t="s">
        <v>2</v>
      </c>
      <c r="D1">
        <v>2022</v>
      </c>
      <c r="E1">
        <v>2023</v>
      </c>
      <c r="F1">
        <v>2024</v>
      </c>
      <c r="G1">
        <v>2025</v>
      </c>
      <c r="H1" t="s">
        <v>62</v>
      </c>
      <c r="I1" t="s">
        <v>63</v>
      </c>
    </row>
    <row r="2" spans="1:9" x14ac:dyDescent="0.25">
      <c r="A2" t="s">
        <v>3</v>
      </c>
      <c r="B2" t="s">
        <v>4</v>
      </c>
      <c r="C2" s="1">
        <v>2058.9</v>
      </c>
      <c r="D2">
        <v>1.2023769531872841E-2</v>
      </c>
      <c r="E2">
        <v>1.7026776012476506E-2</v>
      </c>
      <c r="F2">
        <v>1.9795698483993811E-2</v>
      </c>
      <c r="G2">
        <v>2.0325031435452803E-2</v>
      </c>
      <c r="H2">
        <f>AVERAGE(D2:G2)</f>
        <v>1.7292818865948991E-2</v>
      </c>
      <c r="I2">
        <v>1</v>
      </c>
    </row>
    <row r="3" spans="1:9" x14ac:dyDescent="0.25">
      <c r="A3" t="s">
        <v>77</v>
      </c>
      <c r="B3" t="s">
        <v>92</v>
      </c>
      <c r="C3">
        <v>1804.07</v>
      </c>
      <c r="D3">
        <v>4.0817459592559398E-2</v>
      </c>
      <c r="E3">
        <v>5.506298148505661E-2</v>
      </c>
      <c r="F3">
        <v>5.4642627971804504E-2</v>
      </c>
      <c r="G3">
        <v>6.0935459852055333E-2</v>
      </c>
      <c r="H3">
        <f>AVERAGE(D3:G3)</f>
        <v>5.2864632225368961E-2</v>
      </c>
      <c r="I3">
        <v>0</v>
      </c>
    </row>
    <row r="4" spans="1:9" x14ac:dyDescent="0.25">
      <c r="A4" t="s">
        <v>64</v>
      </c>
      <c r="B4" t="s">
        <v>79</v>
      </c>
      <c r="C4">
        <v>1669.7</v>
      </c>
      <c r="D4">
        <v>7.643605175745795E-3</v>
      </c>
      <c r="E4">
        <v>8.6242739427416937E-3</v>
      </c>
      <c r="F4">
        <v>9.9051270149627547E-3</v>
      </c>
      <c r="G4">
        <v>1.1006335138112954E-2</v>
      </c>
      <c r="H4">
        <f>AVERAGE(D4:G4)</f>
        <v>9.2948353178907983E-3</v>
      </c>
      <c r="I4">
        <v>0</v>
      </c>
    </row>
    <row r="5" spans="1:9" x14ac:dyDescent="0.25">
      <c r="A5" t="s">
        <v>78</v>
      </c>
      <c r="B5" t="s">
        <v>93</v>
      </c>
      <c r="C5">
        <v>1927.38</v>
      </c>
      <c r="D5">
        <v>3.7953702508048276E-2</v>
      </c>
      <c r="E5">
        <v>4.917500755309092E-2</v>
      </c>
      <c r="F5">
        <v>5.0824778172665175E-2</v>
      </c>
      <c r="G5">
        <v>6.4655059562769984E-2</v>
      </c>
      <c r="H5">
        <f>AVERAGE(D5:G5)</f>
        <v>5.065213694914359E-2</v>
      </c>
      <c r="I5">
        <v>0</v>
      </c>
    </row>
    <row r="6" spans="1:9" x14ac:dyDescent="0.25">
      <c r="A6" t="s">
        <v>72</v>
      </c>
      <c r="B6" t="s">
        <v>87</v>
      </c>
      <c r="C6">
        <v>675.76</v>
      </c>
      <c r="D6">
        <v>1.6285504875065165E-2</v>
      </c>
      <c r="E6">
        <v>1.9280723405621904E-2</v>
      </c>
      <c r="F6">
        <v>1.9795747379827307E-2</v>
      </c>
      <c r="G6">
        <v>2.3973873975455792E-2</v>
      </c>
      <c r="H6">
        <f>AVERAGE(D6:G6)</f>
        <v>1.9833962408992541E-2</v>
      </c>
      <c r="I6">
        <v>0</v>
      </c>
    </row>
    <row r="7" spans="1:9" x14ac:dyDescent="0.25">
      <c r="A7" t="s">
        <v>5</v>
      </c>
      <c r="B7" t="s">
        <v>6</v>
      </c>
      <c r="C7" s="1">
        <v>2252.9899999999998</v>
      </c>
      <c r="D7">
        <v>1.1670931399473124E-2</v>
      </c>
      <c r="E7">
        <v>1.1723236787370287E-2</v>
      </c>
      <c r="F7">
        <v>1.2760212539083673E-2</v>
      </c>
      <c r="G7">
        <v>2.008893871208229E-2</v>
      </c>
      <c r="H7">
        <f>AVERAGE(D7:G7)</f>
        <v>1.4060829859502343E-2</v>
      </c>
      <c r="I7">
        <v>1</v>
      </c>
    </row>
    <row r="8" spans="1:9" x14ac:dyDescent="0.25">
      <c r="A8" t="s">
        <v>70</v>
      </c>
      <c r="B8" t="s">
        <v>85</v>
      </c>
      <c r="C8">
        <v>1898.45</v>
      </c>
      <c r="D8">
        <v>7.5202873074921789E-3</v>
      </c>
      <c r="E8">
        <v>7.857723533323235E-3</v>
      </c>
      <c r="F8">
        <v>7.6221540607898904E-3</v>
      </c>
      <c r="G8">
        <v>7.2833029003416148E-3</v>
      </c>
      <c r="H8">
        <f>AVERAGE(D8:G8)</f>
        <v>7.57086695048673E-3</v>
      </c>
      <c r="I8">
        <v>0</v>
      </c>
    </row>
    <row r="9" spans="1:9" x14ac:dyDescent="0.25">
      <c r="A9" t="s">
        <v>7</v>
      </c>
      <c r="B9" t="s">
        <v>8</v>
      </c>
      <c r="C9" s="1">
        <v>1777.41</v>
      </c>
      <c r="D9">
        <v>1.5871290769608335E-2</v>
      </c>
      <c r="E9">
        <v>1.9483430853890784E-2</v>
      </c>
      <c r="F9">
        <v>1.9345372977936967E-2</v>
      </c>
      <c r="G9">
        <v>2.0063745774838691E-2</v>
      </c>
      <c r="H9">
        <f>AVERAGE(D9:G9)</f>
        <v>1.8690960094068693E-2</v>
      </c>
      <c r="I9">
        <v>1</v>
      </c>
    </row>
    <row r="10" spans="1:9" x14ac:dyDescent="0.25">
      <c r="A10" t="s">
        <v>9</v>
      </c>
      <c r="B10" t="s">
        <v>10</v>
      </c>
      <c r="C10" s="1">
        <v>1867.28</v>
      </c>
      <c r="D10">
        <v>1.802906750360489E-2</v>
      </c>
      <c r="E10">
        <v>1.6467488615480856E-2</v>
      </c>
      <c r="F10">
        <v>1.8625175272879334E-2</v>
      </c>
      <c r="G10">
        <v>2.0185583436731751E-2</v>
      </c>
      <c r="H10">
        <f>AVERAGE(D10:G10)</f>
        <v>1.8326828707174208E-2</v>
      </c>
      <c r="I10">
        <v>1</v>
      </c>
    </row>
    <row r="11" spans="1:9" x14ac:dyDescent="0.25">
      <c r="A11" t="s">
        <v>68</v>
      </c>
      <c r="B11" t="s">
        <v>83</v>
      </c>
      <c r="C11">
        <v>2309.9699999999998</v>
      </c>
      <c r="D11">
        <v>1.7078535525866932E-2</v>
      </c>
      <c r="E11">
        <v>1.5946777898499513E-2</v>
      </c>
      <c r="F11">
        <v>1.5846917511387421E-2</v>
      </c>
      <c r="G11">
        <v>1.605310961570736E-2</v>
      </c>
      <c r="H11">
        <f>AVERAGE(D11:G11)</f>
        <v>1.6231335137865305E-2</v>
      </c>
      <c r="I11">
        <v>0</v>
      </c>
    </row>
    <row r="12" spans="1:9" x14ac:dyDescent="0.25">
      <c r="A12" t="s">
        <v>11</v>
      </c>
      <c r="B12" t="s">
        <v>12</v>
      </c>
      <c r="C12" s="1">
        <v>1667.65</v>
      </c>
      <c r="D12">
        <v>1.2880659393532251E-2</v>
      </c>
      <c r="E12">
        <v>1.3146284003652906E-2</v>
      </c>
      <c r="F12">
        <v>1.8763857460166473E-2</v>
      </c>
      <c r="G12">
        <v>1.8356469694020789E-2</v>
      </c>
      <c r="H12">
        <f>AVERAGE(D12:G12)</f>
        <v>1.5786817637843103E-2</v>
      </c>
      <c r="I12">
        <v>1</v>
      </c>
    </row>
    <row r="13" spans="1:9" x14ac:dyDescent="0.25">
      <c r="A13" t="s">
        <v>13</v>
      </c>
      <c r="B13" t="s">
        <v>14</v>
      </c>
      <c r="C13" s="1">
        <v>1560.42</v>
      </c>
      <c r="D13">
        <v>1.3677962735186991E-2</v>
      </c>
      <c r="E13">
        <v>2.0122457124644798E-2</v>
      </c>
      <c r="F13">
        <v>2.2686290435902711E-2</v>
      </c>
      <c r="G13">
        <v>3.2528520512050407E-2</v>
      </c>
      <c r="H13">
        <f>AVERAGE(D13:G13)</f>
        <v>2.2253807701946227E-2</v>
      </c>
      <c r="I13">
        <v>1</v>
      </c>
    </row>
    <row r="14" spans="1:9" x14ac:dyDescent="0.25">
      <c r="A14" t="s">
        <v>15</v>
      </c>
      <c r="B14" t="s">
        <v>16</v>
      </c>
      <c r="C14">
        <v>866.96</v>
      </c>
      <c r="D14">
        <v>2.1431959374882244E-2</v>
      </c>
      <c r="E14">
        <v>2.9827852332715003E-2</v>
      </c>
      <c r="F14">
        <v>3.3025708930498429E-2</v>
      </c>
      <c r="G14">
        <v>3.3744178007927589E-2</v>
      </c>
      <c r="H14">
        <f>AVERAGE(D14:G14)</f>
        <v>2.9507424661505816E-2</v>
      </c>
      <c r="I14">
        <v>1</v>
      </c>
    </row>
    <row r="15" spans="1:9" x14ac:dyDescent="0.25">
      <c r="A15" t="s">
        <v>17</v>
      </c>
      <c r="B15" t="s">
        <v>18</v>
      </c>
      <c r="C15">
        <v>892.29</v>
      </c>
      <c r="D15">
        <v>1.5896067785146635E-2</v>
      </c>
      <c r="E15">
        <v>2.008945640063332E-2</v>
      </c>
      <c r="F15">
        <v>2.1771063512137496E-2</v>
      </c>
      <c r="G15">
        <v>2.5711701623670272E-2</v>
      </c>
      <c r="H15">
        <f>AVERAGE(D15:G15)</f>
        <v>2.0867072330396929E-2</v>
      </c>
      <c r="I15">
        <v>1</v>
      </c>
    </row>
    <row r="16" spans="1:9" x14ac:dyDescent="0.25">
      <c r="A16" t="s">
        <v>19</v>
      </c>
      <c r="B16" t="s">
        <v>20</v>
      </c>
      <c r="C16" s="1">
        <v>2486.25</v>
      </c>
      <c r="D16">
        <v>1.958781267742106E-2</v>
      </c>
      <c r="E16">
        <v>1.9481758891564126E-2</v>
      </c>
      <c r="F16">
        <v>2.0115758077871092E-2</v>
      </c>
      <c r="G16">
        <v>2.0266296920856373E-2</v>
      </c>
      <c r="H16">
        <f>AVERAGE(D16:G16)</f>
        <v>1.9862906641928163E-2</v>
      </c>
      <c r="I16">
        <v>1</v>
      </c>
    </row>
    <row r="17" spans="1:11" x14ac:dyDescent="0.25">
      <c r="A17" t="s">
        <v>76</v>
      </c>
      <c r="B17" t="s">
        <v>91</v>
      </c>
      <c r="C17">
        <v>1646.21</v>
      </c>
      <c r="D17">
        <v>1.6078768198308134E-2</v>
      </c>
      <c r="E17">
        <v>1.6455916844115983E-2</v>
      </c>
      <c r="F17">
        <v>1.5930936120181032E-2</v>
      </c>
      <c r="G17">
        <v>1.7458281163597659E-2</v>
      </c>
      <c r="H17">
        <f>AVERAGE(D17:G17)</f>
        <v>1.6480975581550702E-2</v>
      </c>
      <c r="I17">
        <v>0</v>
      </c>
    </row>
    <row r="18" spans="1:11" x14ac:dyDescent="0.25">
      <c r="A18" t="s">
        <v>21</v>
      </c>
      <c r="B18" t="s">
        <v>22</v>
      </c>
      <c r="C18" s="1">
        <v>1608.83</v>
      </c>
      <c r="D18">
        <v>1.3360197924996053E-2</v>
      </c>
      <c r="E18">
        <v>1.5033264680717936E-2</v>
      </c>
      <c r="F18">
        <v>1.8385782299253632E-2</v>
      </c>
      <c r="G18">
        <v>2.2685109251452271E-2</v>
      </c>
      <c r="H18">
        <f>AVERAGE(D18:G18)</f>
        <v>1.7366088539104971E-2</v>
      </c>
      <c r="I18">
        <v>1</v>
      </c>
    </row>
    <row r="19" spans="1:11" x14ac:dyDescent="0.25">
      <c r="A19" t="s">
        <v>23</v>
      </c>
      <c r="B19" t="s">
        <v>24</v>
      </c>
      <c r="C19" s="1">
        <v>2231.02</v>
      </c>
      <c r="D19">
        <v>4.0166918292586125E-2</v>
      </c>
      <c r="E19">
        <v>2.8898075203241114E-2</v>
      </c>
      <c r="F19">
        <v>2.8846484556215773E-2</v>
      </c>
      <c r="G19">
        <v>2.9888142525625296E-2</v>
      </c>
      <c r="H19">
        <f>AVERAGE(D19:G19)</f>
        <v>3.1949905144417076E-2</v>
      </c>
      <c r="I19">
        <v>1</v>
      </c>
    </row>
    <row r="20" spans="1:11" x14ac:dyDescent="0.25">
      <c r="A20" t="s">
        <v>25</v>
      </c>
      <c r="B20" t="s">
        <v>26</v>
      </c>
      <c r="C20" s="1">
        <v>1569.15</v>
      </c>
      <c r="D20">
        <v>1.8391299500970609E-2</v>
      </c>
      <c r="E20">
        <v>2.0439015389918179E-2</v>
      </c>
      <c r="F20">
        <v>2.1249203660402095E-2</v>
      </c>
      <c r="G20">
        <v>2.0368010224634182E-2</v>
      </c>
      <c r="H20">
        <f>AVERAGE(D20:G20)</f>
        <v>2.0111882193981266E-2</v>
      </c>
      <c r="I20">
        <v>1</v>
      </c>
    </row>
    <row r="21" spans="1:11" x14ac:dyDescent="0.25">
      <c r="A21" t="s">
        <v>27</v>
      </c>
      <c r="B21" t="s">
        <v>28</v>
      </c>
      <c r="C21" s="1">
        <v>3307.63</v>
      </c>
      <c r="D21">
        <v>0</v>
      </c>
      <c r="E21">
        <v>0</v>
      </c>
      <c r="F21">
        <v>0</v>
      </c>
      <c r="G21">
        <v>0</v>
      </c>
      <c r="H21">
        <f>AVERAGE(D21:G21)</f>
        <v>0</v>
      </c>
      <c r="I21">
        <v>1</v>
      </c>
    </row>
    <row r="22" spans="1:11" x14ac:dyDescent="0.25">
      <c r="A22" t="s">
        <v>66</v>
      </c>
      <c r="B22" t="s">
        <v>81</v>
      </c>
      <c r="C22">
        <v>2794.41</v>
      </c>
      <c r="D22">
        <v>2.1259091590145338E-3</v>
      </c>
      <c r="E22">
        <v>2.2388710278815897E-3</v>
      </c>
      <c r="F22">
        <v>2.1887218828687853E-3</v>
      </c>
      <c r="G22">
        <v>2.1912979177091934E-3</v>
      </c>
      <c r="H22">
        <f>AVERAGE(D22:G22)</f>
        <v>2.1861999968685259E-3</v>
      </c>
      <c r="I22">
        <v>0</v>
      </c>
    </row>
    <row r="23" spans="1:11" x14ac:dyDescent="0.25">
      <c r="A23" t="s">
        <v>29</v>
      </c>
      <c r="B23" t="s">
        <v>30</v>
      </c>
      <c r="C23" s="1">
        <v>2375.33</v>
      </c>
      <c r="D23">
        <v>1.6019037546483546E-2</v>
      </c>
      <c r="E23">
        <v>1.533952857406955E-2</v>
      </c>
      <c r="F23">
        <v>1.5897659385982865E-2</v>
      </c>
      <c r="G23">
        <v>1.8887272002891593E-2</v>
      </c>
      <c r="H23">
        <f>AVERAGE(D23:G23)</f>
        <v>1.6535874377356888E-2</v>
      </c>
      <c r="I23">
        <v>1</v>
      </c>
    </row>
    <row r="24" spans="1:11" x14ac:dyDescent="0.25">
      <c r="A24" t="s">
        <v>74</v>
      </c>
      <c r="B24" t="s">
        <v>89</v>
      </c>
      <c r="C24">
        <v>1873.73</v>
      </c>
      <c r="D24">
        <v>1.1500461457350886E-2</v>
      </c>
      <c r="E24">
        <v>1.2735135179807584E-2</v>
      </c>
      <c r="F24">
        <v>1.4786814384413311E-2</v>
      </c>
      <c r="G24">
        <v>1.852817265223786E-2</v>
      </c>
      <c r="H24">
        <f>AVERAGE(D24:G24)</f>
        <v>1.4387645918452409E-2</v>
      </c>
      <c r="I24">
        <v>0</v>
      </c>
    </row>
    <row r="25" spans="1:11" x14ac:dyDescent="0.25">
      <c r="A25" t="s">
        <v>31</v>
      </c>
      <c r="B25" t="s">
        <v>32</v>
      </c>
      <c r="C25">
        <v>841.57</v>
      </c>
      <c r="D25">
        <v>2.2546193105761919E-2</v>
      </c>
      <c r="E25">
        <v>2.9332537597542993E-2</v>
      </c>
      <c r="F25">
        <v>3.2978665256537594E-2</v>
      </c>
      <c r="G25">
        <v>3.6077210002989017E-2</v>
      </c>
      <c r="H25">
        <f>AVERAGE(D25:G25)</f>
        <v>3.0233651490707884E-2</v>
      </c>
      <c r="I25">
        <v>1</v>
      </c>
    </row>
    <row r="26" spans="1:11" x14ac:dyDescent="0.25">
      <c r="A26" t="s">
        <v>33</v>
      </c>
      <c r="B26" t="s">
        <v>34</v>
      </c>
      <c r="C26">
        <v>790.41</v>
      </c>
      <c r="D26">
        <v>2.55872526789621E-2</v>
      </c>
      <c r="E26">
        <v>2.8363187347378773E-2</v>
      </c>
      <c r="F26">
        <v>3.1444552624154638E-2</v>
      </c>
      <c r="G26">
        <v>3.0797536647170588E-2</v>
      </c>
      <c r="H26">
        <f>AVERAGE(D26:G26)</f>
        <v>2.9048132324416526E-2</v>
      </c>
      <c r="I26">
        <v>1</v>
      </c>
    </row>
    <row r="27" spans="1:11" x14ac:dyDescent="0.25">
      <c r="A27" t="s">
        <v>35</v>
      </c>
      <c r="B27" t="s">
        <v>35</v>
      </c>
      <c r="C27" s="1">
        <v>2207.44</v>
      </c>
      <c r="D27">
        <v>5.6575990919526887E-3</v>
      </c>
      <c r="E27">
        <v>6.8101825021937437E-3</v>
      </c>
      <c r="F27">
        <v>6.6336405497870281E-3</v>
      </c>
      <c r="G27">
        <v>8.5105050505050513E-3</v>
      </c>
      <c r="H27">
        <f>AVERAGE(D27:G27)</f>
        <v>6.9029817986096288E-3</v>
      </c>
      <c r="I27">
        <v>1</v>
      </c>
    </row>
    <row r="28" spans="1:11" x14ac:dyDescent="0.25">
      <c r="A28" t="s">
        <v>67</v>
      </c>
      <c r="B28" t="s">
        <v>82</v>
      </c>
      <c r="C28">
        <v>2814.65</v>
      </c>
      <c r="D28">
        <v>4.1986326735171308E-3</v>
      </c>
      <c r="E28">
        <v>3.770731855555768E-3</v>
      </c>
      <c r="F28">
        <v>3.7405793562318643E-3</v>
      </c>
      <c r="G28">
        <v>4.4882883904289409E-3</v>
      </c>
      <c r="H28">
        <f>AVERAGE(D28:G28)</f>
        <v>4.0495580689334267E-3</v>
      </c>
      <c r="I28">
        <v>0</v>
      </c>
    </row>
    <row r="29" spans="1:11" x14ac:dyDescent="0.25">
      <c r="A29" t="s">
        <v>71</v>
      </c>
      <c r="B29" t="s">
        <v>86</v>
      </c>
      <c r="C29">
        <v>1144.6099999999999</v>
      </c>
      <c r="D29">
        <v>3.7426035500545854E-3</v>
      </c>
      <c r="E29">
        <v>5.5173043035320474E-3</v>
      </c>
      <c r="F29">
        <v>5.9999970781524966E-3</v>
      </c>
      <c r="G29">
        <v>5.6030076794200967E-3</v>
      </c>
      <c r="H29">
        <f>AVERAGE(D29:G29)</f>
        <v>5.2157281527898062E-3</v>
      </c>
      <c r="I29">
        <v>0</v>
      </c>
    </row>
    <row r="30" spans="1:11" x14ac:dyDescent="0.25">
      <c r="A30" t="s">
        <v>36</v>
      </c>
      <c r="B30" t="s">
        <v>37</v>
      </c>
      <c r="C30" s="1">
        <v>1983.23</v>
      </c>
      <c r="D30">
        <v>1.5676486317915697E-2</v>
      </c>
      <c r="E30">
        <v>1.4961429930890681E-2</v>
      </c>
      <c r="F30">
        <v>1.8143691107574373E-2</v>
      </c>
      <c r="G30">
        <v>1.8899844431515031E-2</v>
      </c>
      <c r="H30">
        <f>AVERAGE(D30:G30)</f>
        <v>1.6920362946973945E-2</v>
      </c>
      <c r="I30">
        <v>1</v>
      </c>
    </row>
    <row r="31" spans="1:11" x14ac:dyDescent="0.25">
      <c r="A31" t="s">
        <v>38</v>
      </c>
      <c r="B31" t="s">
        <v>39</v>
      </c>
      <c r="C31" s="1">
        <v>2146.98</v>
      </c>
      <c r="D31">
        <v>1.3041999557263892E-2</v>
      </c>
      <c r="E31">
        <v>1.4414119908317638E-2</v>
      </c>
      <c r="F31">
        <v>1.9406499480159187E-2</v>
      </c>
      <c r="G31">
        <v>2.1945445152637934E-2</v>
      </c>
      <c r="H31">
        <f>AVERAGE(D31:G31)</f>
        <v>1.7202016024594664E-2</v>
      </c>
      <c r="I31">
        <v>1</v>
      </c>
      <c r="K31" t="s">
        <v>111</v>
      </c>
    </row>
    <row r="32" spans="1:11" x14ac:dyDescent="0.25">
      <c r="A32" t="s">
        <v>40</v>
      </c>
      <c r="B32" t="s">
        <v>41</v>
      </c>
      <c r="C32" s="1">
        <v>1924.4</v>
      </c>
      <c r="D32">
        <v>1.4877149247278792E-2</v>
      </c>
      <c r="E32">
        <v>1.767848964294589E-2</v>
      </c>
      <c r="F32">
        <v>1.7669572156895866E-2</v>
      </c>
      <c r="G32">
        <v>1.9664112754277915E-2</v>
      </c>
      <c r="H32">
        <f>AVERAGE(D32:G32)</f>
        <v>1.7472330950349616E-2</v>
      </c>
      <c r="I32">
        <v>1</v>
      </c>
    </row>
    <row r="33" spans="1:9" x14ac:dyDescent="0.25">
      <c r="A33" t="s">
        <v>42</v>
      </c>
      <c r="B33" t="s">
        <v>43</v>
      </c>
      <c r="C33" s="1">
        <v>1643.22</v>
      </c>
      <c r="D33">
        <v>1.4580566048103013E-2</v>
      </c>
      <c r="E33">
        <v>1.8220116634934537E-2</v>
      </c>
      <c r="F33">
        <v>2.2316488877548155E-2</v>
      </c>
      <c r="G33">
        <v>3.2784814370343564E-2</v>
      </c>
      <c r="H33">
        <f>AVERAGE(D33:G33)</f>
        <v>2.1975496482732317E-2</v>
      </c>
      <c r="I33">
        <v>1</v>
      </c>
    </row>
    <row r="34" spans="1:9" x14ac:dyDescent="0.25">
      <c r="A34" t="s">
        <v>44</v>
      </c>
      <c r="B34" t="s">
        <v>45</v>
      </c>
      <c r="C34" s="1">
        <v>1150.7</v>
      </c>
      <c r="D34">
        <v>2.2045890642888241E-2</v>
      </c>
      <c r="E34">
        <v>3.2567225938533777E-2</v>
      </c>
      <c r="F34">
        <v>3.7547161135064233E-2</v>
      </c>
      <c r="G34">
        <v>4.4969375748071326E-2</v>
      </c>
      <c r="H34">
        <f>AVERAGE(D34:G34)</f>
        <v>3.4282413366139394E-2</v>
      </c>
      <c r="I34">
        <v>1</v>
      </c>
    </row>
    <row r="35" spans="1:9" x14ac:dyDescent="0.25">
      <c r="A35" t="s">
        <v>46</v>
      </c>
      <c r="B35" t="s">
        <v>47</v>
      </c>
      <c r="C35" s="1">
        <v>3905.89</v>
      </c>
      <c r="D35">
        <v>1.3579437603049888E-2</v>
      </c>
      <c r="E35">
        <v>1.2081998910940809E-2</v>
      </c>
      <c r="F35">
        <v>1.4441589583326142E-2</v>
      </c>
      <c r="G35">
        <v>1.7112082110627345E-2</v>
      </c>
      <c r="H35">
        <f>AVERAGE(D35:G35)</f>
        <v>1.4303777051986044E-2</v>
      </c>
      <c r="I35">
        <v>1</v>
      </c>
    </row>
    <row r="36" spans="1:9" x14ac:dyDescent="0.25">
      <c r="A36" t="s">
        <v>48</v>
      </c>
      <c r="B36" t="s">
        <v>49</v>
      </c>
      <c r="C36" s="1">
        <v>1499.57</v>
      </c>
      <c r="D36">
        <v>1.7562500821538211E-2</v>
      </c>
      <c r="E36">
        <v>1.6174955024342616E-2</v>
      </c>
      <c r="F36">
        <v>2.1735767955505261E-2</v>
      </c>
      <c r="G36">
        <v>2.281166438721189E-2</v>
      </c>
      <c r="H36">
        <f>AVERAGE(D36:G36)</f>
        <v>1.9571222047149492E-2</v>
      </c>
      <c r="I36">
        <v>1</v>
      </c>
    </row>
    <row r="37" spans="1:9" x14ac:dyDescent="0.25">
      <c r="A37" t="s">
        <v>73</v>
      </c>
      <c r="B37" t="s">
        <v>88</v>
      </c>
      <c r="C37" s="2"/>
      <c r="D37">
        <v>4.5558544286682261E-2</v>
      </c>
      <c r="E37">
        <v>5.2717027939170567E-2</v>
      </c>
      <c r="F37">
        <v>6.8741527113979475E-2</v>
      </c>
      <c r="G37">
        <v>7.501484654936362E-2</v>
      </c>
      <c r="H37">
        <f>AVERAGE(D37:G37)</f>
        <v>6.0507986472298977E-2</v>
      </c>
      <c r="I37">
        <v>0</v>
      </c>
    </row>
    <row r="38" spans="1:9" x14ac:dyDescent="0.25">
      <c r="A38" t="s">
        <v>69</v>
      </c>
      <c r="B38" t="s">
        <v>84</v>
      </c>
      <c r="C38">
        <v>1716.28</v>
      </c>
      <c r="D38">
        <v>2.1722730677851722E-2</v>
      </c>
      <c r="E38">
        <v>2.2080368554648622E-2</v>
      </c>
      <c r="F38">
        <v>2.6679990823124302E-2</v>
      </c>
      <c r="G38">
        <v>2.7553912788627778E-2</v>
      </c>
      <c r="H38">
        <f>AVERAGE(D38:G38)</f>
        <v>2.4509250711063104E-2</v>
      </c>
      <c r="I38">
        <v>0</v>
      </c>
    </row>
    <row r="39" spans="1:9" x14ac:dyDescent="0.25">
      <c r="A39" t="s">
        <v>50</v>
      </c>
      <c r="B39" t="s">
        <v>51</v>
      </c>
      <c r="C39" s="1">
        <v>1631.23</v>
      </c>
      <c r="D39">
        <v>1.7847448227752843E-2</v>
      </c>
      <c r="E39">
        <v>1.7355347514658184E-2</v>
      </c>
      <c r="F39">
        <v>1.9772007023864675E-2</v>
      </c>
      <c r="G39">
        <v>2.0319797041979115E-2</v>
      </c>
      <c r="H39">
        <f>AVERAGE(D39:G39)</f>
        <v>1.8823649952063704E-2</v>
      </c>
      <c r="I39">
        <v>1</v>
      </c>
    </row>
    <row r="40" spans="1:9" x14ac:dyDescent="0.25">
      <c r="A40" t="s">
        <v>52</v>
      </c>
      <c r="B40" t="s">
        <v>53</v>
      </c>
      <c r="C40" s="1">
        <v>1932.1</v>
      </c>
      <c r="D40">
        <v>1.2956732487420313E-2</v>
      </c>
      <c r="E40">
        <v>1.3145977973341947E-2</v>
      </c>
      <c r="F40">
        <v>1.3438531321786304E-2</v>
      </c>
      <c r="G40">
        <v>1.5441648249803949E-2</v>
      </c>
      <c r="H40">
        <f>AVERAGE(D40:G40)</f>
        <v>1.3745722508088129E-2</v>
      </c>
      <c r="I40">
        <v>1</v>
      </c>
    </row>
    <row r="41" spans="1:9" x14ac:dyDescent="0.25">
      <c r="A41" t="s">
        <v>54</v>
      </c>
      <c r="B41" t="s">
        <v>55</v>
      </c>
      <c r="C41" s="1">
        <v>3440.34</v>
      </c>
      <c r="D41">
        <v>1.4319863242197806E-2</v>
      </c>
      <c r="E41">
        <v>1.5349257992430034E-2</v>
      </c>
      <c r="F41">
        <v>1.4603080918003174E-2</v>
      </c>
      <c r="G41">
        <v>2.1289211382842128E-2</v>
      </c>
      <c r="H41">
        <f>AVERAGE(D41:G41)</f>
        <v>1.6390353383868288E-2</v>
      </c>
      <c r="I41">
        <v>1</v>
      </c>
    </row>
    <row r="42" spans="1:9" x14ac:dyDescent="0.25">
      <c r="A42" t="s">
        <v>56</v>
      </c>
      <c r="B42" t="s">
        <v>57</v>
      </c>
      <c r="C42" s="1">
        <v>1227.06</v>
      </c>
      <c r="D42">
        <v>1.3426468560738876E-2</v>
      </c>
      <c r="E42">
        <v>1.5173720090239805E-2</v>
      </c>
      <c r="F42">
        <v>1.9932278351101382E-2</v>
      </c>
      <c r="G42">
        <v>2.4711848495400413E-2</v>
      </c>
      <c r="H42">
        <f>AVERAGE(D42:G42)</f>
        <v>1.8311078874370119E-2</v>
      </c>
      <c r="I42">
        <v>1</v>
      </c>
    </row>
    <row r="43" spans="1:9" x14ac:dyDescent="0.25">
      <c r="A43" t="s">
        <v>65</v>
      </c>
      <c r="B43" t="s">
        <v>80</v>
      </c>
      <c r="C43">
        <v>2288.61</v>
      </c>
      <c r="D43">
        <v>6.820613026440327E-3</v>
      </c>
      <c r="E43">
        <v>7.0565902159642393E-3</v>
      </c>
      <c r="F43">
        <v>6.9789888852098744E-3</v>
      </c>
      <c r="G43">
        <v>7.569245382939775E-3</v>
      </c>
      <c r="H43">
        <f>AVERAGE(D43:G43)</f>
        <v>7.1063593776385546E-3</v>
      </c>
      <c r="I43">
        <v>0</v>
      </c>
    </row>
    <row r="44" spans="1:9" x14ac:dyDescent="0.25">
      <c r="A44" t="s">
        <v>58</v>
      </c>
      <c r="B44" t="s">
        <v>59</v>
      </c>
      <c r="C44" s="1">
        <v>1793.78</v>
      </c>
      <c r="D44">
        <v>1.624804171015112E-2</v>
      </c>
      <c r="E44">
        <v>1.685271582274012E-2</v>
      </c>
      <c r="F44">
        <v>1.8403146027679805E-2</v>
      </c>
      <c r="G44">
        <v>1.9082522771435701E-2</v>
      </c>
      <c r="H44">
        <f>AVERAGE(D44:G44)</f>
        <v>1.7646606583001687E-2</v>
      </c>
      <c r="I44">
        <v>1</v>
      </c>
    </row>
    <row r="45" spans="1:9" x14ac:dyDescent="0.25">
      <c r="A45" t="s">
        <v>75</v>
      </c>
      <c r="B45" t="s">
        <v>90</v>
      </c>
      <c r="C45">
        <v>755.74</v>
      </c>
      <c r="D45">
        <v>0.25642410471541566</v>
      </c>
      <c r="E45">
        <v>0.36031412892335968</v>
      </c>
      <c r="F45">
        <v>0.33956044597507218</v>
      </c>
      <c r="G45">
        <v>0.39561018358008804</v>
      </c>
      <c r="H45">
        <f>AVERAGE(D45:G45)</f>
        <v>0.33797721579848389</v>
      </c>
      <c r="I45">
        <v>0</v>
      </c>
    </row>
    <row r="46" spans="1:9" x14ac:dyDescent="0.25">
      <c r="A46" t="s">
        <v>60</v>
      </c>
      <c r="B46" t="s">
        <v>61</v>
      </c>
      <c r="C46" s="1">
        <v>2500.54</v>
      </c>
      <c r="D46">
        <v>2.0117668908714935E-2</v>
      </c>
      <c r="E46">
        <v>2.1518152555732178E-2</v>
      </c>
      <c r="F46">
        <v>2.4367191195539085E-2</v>
      </c>
      <c r="G46">
        <v>2.3532641541251779E-2</v>
      </c>
      <c r="H46">
        <f>AVERAGE(D46:G46)</f>
        <v>2.2383913550309491E-2</v>
      </c>
      <c r="I46">
        <v>1</v>
      </c>
    </row>
  </sheetData>
  <autoFilter ref="A1:I46" xr:uid="{DCDC9A21-4DAE-4263-9D08-617126A0C902}">
    <sortState xmlns:xlrd2="http://schemas.microsoft.com/office/spreadsheetml/2017/richdata2" ref="A2:I46">
      <sortCondition ref="A1:A4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BDBA-896E-4403-877E-592CBE55F716}">
  <dimension ref="A1:D55"/>
  <sheetViews>
    <sheetView workbookViewId="0">
      <selection activeCell="F21" sqref="F21"/>
    </sheetView>
  </sheetViews>
  <sheetFormatPr defaultRowHeight="15" x14ac:dyDescent="0.25"/>
  <cols>
    <col min="1" max="1" width="15.140625" bestFit="1" customWidth="1"/>
    <col min="2" max="2" width="7" bestFit="1" customWidth="1"/>
    <col min="3" max="3" width="15.7109375" bestFit="1" customWidth="1"/>
    <col min="4" max="4" width="26.85546875" bestFit="1" customWidth="1"/>
  </cols>
  <sheetData>
    <row r="1" spans="1:4" x14ac:dyDescent="0.25">
      <c r="A1" t="s">
        <v>1</v>
      </c>
      <c r="B1" t="s">
        <v>110</v>
      </c>
      <c r="C1" t="s">
        <v>99</v>
      </c>
      <c r="D1" t="s">
        <v>112</v>
      </c>
    </row>
    <row r="2" spans="1:4" x14ac:dyDescent="0.25">
      <c r="A2" t="s">
        <v>5</v>
      </c>
      <c r="B2">
        <v>2022</v>
      </c>
      <c r="C2">
        <v>0.49</v>
      </c>
      <c r="D2">
        <v>1.1723236787370287E-2</v>
      </c>
    </row>
    <row r="3" spans="1:4" x14ac:dyDescent="0.25">
      <c r="A3" t="s">
        <v>13</v>
      </c>
      <c r="B3">
        <v>2022</v>
      </c>
      <c r="C3">
        <v>0.09</v>
      </c>
      <c r="D3">
        <v>2.0122457124644798E-2</v>
      </c>
    </row>
    <row r="4" spans="1:4" x14ac:dyDescent="0.25">
      <c r="A4" t="s">
        <v>17</v>
      </c>
      <c r="B4">
        <v>2022</v>
      </c>
      <c r="C4">
        <v>0.23</v>
      </c>
      <c r="D4">
        <v>2.008945640063332E-2</v>
      </c>
    </row>
    <row r="5" spans="1:4" x14ac:dyDescent="0.25">
      <c r="A5" t="s">
        <v>19</v>
      </c>
      <c r="B5">
        <v>2022</v>
      </c>
      <c r="C5">
        <v>0.92</v>
      </c>
      <c r="D5">
        <v>1.9481758891564126E-2</v>
      </c>
    </row>
    <row r="6" spans="1:4" x14ac:dyDescent="0.25">
      <c r="A6" t="s">
        <v>21</v>
      </c>
      <c r="B6">
        <v>2022</v>
      </c>
      <c r="C6">
        <v>1.25</v>
      </c>
      <c r="D6">
        <v>1.5033264680717936E-2</v>
      </c>
    </row>
    <row r="7" spans="1:4" x14ac:dyDescent="0.25">
      <c r="A7" t="s">
        <v>25</v>
      </c>
      <c r="B7">
        <v>2022</v>
      </c>
      <c r="C7">
        <v>0.21</v>
      </c>
      <c r="D7">
        <v>2.0439015389918179E-2</v>
      </c>
    </row>
    <row r="8" spans="1:4" x14ac:dyDescent="0.25">
      <c r="A8" t="s">
        <v>29</v>
      </c>
      <c r="B8">
        <v>2022</v>
      </c>
      <c r="C8">
        <v>0.35</v>
      </c>
      <c r="D8">
        <v>1.533952857406955E-2</v>
      </c>
    </row>
    <row r="9" spans="1:4" x14ac:dyDescent="0.25">
      <c r="A9" t="s">
        <v>38</v>
      </c>
      <c r="B9">
        <v>2022</v>
      </c>
      <c r="C9">
        <v>0.18</v>
      </c>
      <c r="D9">
        <v>1.4414119908317638E-2</v>
      </c>
    </row>
    <row r="10" spans="1:4" x14ac:dyDescent="0.25">
      <c r="A10" t="s">
        <v>42</v>
      </c>
      <c r="B10">
        <v>2022</v>
      </c>
      <c r="C10">
        <v>0.16</v>
      </c>
      <c r="D10">
        <v>1.8220116634934537E-2</v>
      </c>
    </row>
    <row r="11" spans="1:4" x14ac:dyDescent="0.25">
      <c r="A11" t="s">
        <v>44</v>
      </c>
      <c r="B11">
        <v>2022</v>
      </c>
      <c r="C11">
        <v>0.67</v>
      </c>
      <c r="D11">
        <v>3.2567225938533777E-2</v>
      </c>
    </row>
    <row r="12" spans="1:4" x14ac:dyDescent="0.25">
      <c r="A12" t="s">
        <v>46</v>
      </c>
      <c r="B12">
        <v>2022</v>
      </c>
      <c r="C12">
        <v>0.03</v>
      </c>
      <c r="D12">
        <v>1.2081998910940809E-2</v>
      </c>
    </row>
    <row r="13" spans="1:4" x14ac:dyDescent="0.25">
      <c r="A13" t="s">
        <v>73</v>
      </c>
      <c r="B13">
        <v>2022</v>
      </c>
      <c r="C13">
        <v>3.69</v>
      </c>
      <c r="D13">
        <v>5.2717027939170567E-2</v>
      </c>
    </row>
    <row r="14" spans="1:4" x14ac:dyDescent="0.25">
      <c r="A14" t="s">
        <v>54</v>
      </c>
      <c r="B14">
        <v>2022</v>
      </c>
      <c r="C14">
        <v>0.17</v>
      </c>
      <c r="D14">
        <v>1.5349257992430034E-2</v>
      </c>
    </row>
    <row r="15" spans="1:4" x14ac:dyDescent="0.25">
      <c r="A15" t="s">
        <v>56</v>
      </c>
      <c r="B15">
        <v>2022</v>
      </c>
      <c r="C15">
        <v>0.23</v>
      </c>
      <c r="D15">
        <v>1.5173720090239805E-2</v>
      </c>
    </row>
    <row r="16" spans="1:4" x14ac:dyDescent="0.25">
      <c r="A16" t="s">
        <v>65</v>
      </c>
      <c r="B16">
        <v>2022</v>
      </c>
      <c r="C16">
        <v>0.09</v>
      </c>
      <c r="D16">
        <v>7.0565902159642393E-3</v>
      </c>
    </row>
    <row r="17" spans="1:4" x14ac:dyDescent="0.25">
      <c r="A17" t="s">
        <v>58</v>
      </c>
      <c r="B17">
        <v>2022</v>
      </c>
      <c r="C17">
        <v>0.45</v>
      </c>
      <c r="D17">
        <v>1.685271582274012E-2</v>
      </c>
    </row>
    <row r="18" spans="1:4" x14ac:dyDescent="0.25">
      <c r="A18" t="s">
        <v>75</v>
      </c>
      <c r="B18">
        <v>2022</v>
      </c>
      <c r="C18">
        <v>3.61</v>
      </c>
      <c r="D18">
        <v>0.36031412892335968</v>
      </c>
    </row>
    <row r="19" spans="1:4" x14ac:dyDescent="0.25">
      <c r="A19" t="s">
        <v>60</v>
      </c>
      <c r="B19">
        <v>2022</v>
      </c>
      <c r="C19">
        <v>1.77</v>
      </c>
      <c r="D19">
        <v>2.1518152555732178E-2</v>
      </c>
    </row>
    <row r="20" spans="1:4" x14ac:dyDescent="0.25">
      <c r="A20" t="s">
        <v>5</v>
      </c>
      <c r="B20">
        <v>2023</v>
      </c>
      <c r="C20">
        <v>0.21</v>
      </c>
      <c r="D20">
        <v>1.2760212539083673E-2</v>
      </c>
    </row>
    <row r="21" spans="1:4" x14ac:dyDescent="0.25">
      <c r="A21" t="s">
        <v>13</v>
      </c>
      <c r="B21">
        <v>2023</v>
      </c>
      <c r="C21">
        <v>7.0000000000000007E-2</v>
      </c>
      <c r="D21">
        <v>2.2686290435902711E-2</v>
      </c>
    </row>
    <row r="22" spans="1:4" x14ac:dyDescent="0.25">
      <c r="A22" t="s">
        <v>17</v>
      </c>
      <c r="B22">
        <v>2023</v>
      </c>
      <c r="C22">
        <v>0.11</v>
      </c>
      <c r="D22">
        <v>2.1771063512137496E-2</v>
      </c>
    </row>
    <row r="23" spans="1:4" x14ac:dyDescent="0.25">
      <c r="A23" t="s">
        <v>19</v>
      </c>
      <c r="B23">
        <v>2023</v>
      </c>
      <c r="C23">
        <v>0.59</v>
      </c>
      <c r="D23">
        <v>2.0115758077871092E-2</v>
      </c>
    </row>
    <row r="24" spans="1:4" x14ac:dyDescent="0.25">
      <c r="A24" t="s">
        <v>21</v>
      </c>
      <c r="B24">
        <v>2023</v>
      </c>
      <c r="C24">
        <v>0.63</v>
      </c>
      <c r="D24">
        <v>1.8385782299253632E-2</v>
      </c>
    </row>
    <row r="25" spans="1:4" x14ac:dyDescent="0.25">
      <c r="A25" t="s">
        <v>25</v>
      </c>
      <c r="B25">
        <v>2023</v>
      </c>
      <c r="C25">
        <v>0.09</v>
      </c>
      <c r="D25">
        <v>2.1249203660402095E-2</v>
      </c>
    </row>
    <row r="26" spans="1:4" x14ac:dyDescent="0.25">
      <c r="A26" t="s">
        <v>29</v>
      </c>
      <c r="B26">
        <v>2023</v>
      </c>
      <c r="C26">
        <v>0.17</v>
      </c>
      <c r="D26">
        <v>1.5897659385982865E-2</v>
      </c>
    </row>
    <row r="27" spans="1:4" x14ac:dyDescent="0.25">
      <c r="A27" t="s">
        <v>38</v>
      </c>
      <c r="B27">
        <v>2023</v>
      </c>
      <c r="C27">
        <v>0.13</v>
      </c>
      <c r="D27">
        <v>1.9406499480159187E-2</v>
      </c>
    </row>
    <row r="28" spans="1:4" x14ac:dyDescent="0.25">
      <c r="A28" t="s">
        <v>42</v>
      </c>
      <c r="B28">
        <v>2023</v>
      </c>
      <c r="C28">
        <v>0.11</v>
      </c>
      <c r="D28">
        <v>2.2316488877548155E-2</v>
      </c>
    </row>
    <row r="29" spans="1:4" x14ac:dyDescent="0.25">
      <c r="A29" t="s">
        <v>44</v>
      </c>
      <c r="B29">
        <v>2023</v>
      </c>
      <c r="C29">
        <v>0.22</v>
      </c>
      <c r="D29">
        <v>3.7547161135064233E-2</v>
      </c>
    </row>
    <row r="30" spans="1:4" x14ac:dyDescent="0.25">
      <c r="A30" t="s">
        <v>46</v>
      </c>
      <c r="B30">
        <v>2023</v>
      </c>
      <c r="C30">
        <v>0.02</v>
      </c>
      <c r="D30">
        <v>1.4441589583326142E-2</v>
      </c>
    </row>
    <row r="31" spans="1:4" x14ac:dyDescent="0.25">
      <c r="A31" t="s">
        <v>73</v>
      </c>
      <c r="B31">
        <v>2023</v>
      </c>
      <c r="C31">
        <v>1.9</v>
      </c>
      <c r="D31">
        <v>6.8741527113979475E-2</v>
      </c>
    </row>
    <row r="32" spans="1:4" x14ac:dyDescent="0.25">
      <c r="A32" t="s">
        <v>54</v>
      </c>
      <c r="B32">
        <v>2023</v>
      </c>
      <c r="C32">
        <v>0.11</v>
      </c>
      <c r="D32">
        <v>1.4603080918003174E-2</v>
      </c>
    </row>
    <row r="33" spans="1:4" x14ac:dyDescent="0.25">
      <c r="A33" t="s">
        <v>56</v>
      </c>
      <c r="B33">
        <v>2023</v>
      </c>
      <c r="C33">
        <v>0.14000000000000001</v>
      </c>
      <c r="D33">
        <v>1.9932278351101382E-2</v>
      </c>
    </row>
    <row r="34" spans="1:4" x14ac:dyDescent="0.25">
      <c r="A34" t="s">
        <v>65</v>
      </c>
      <c r="B34">
        <v>2023</v>
      </c>
      <c r="C34">
        <v>0.06</v>
      </c>
      <c r="D34">
        <v>6.9789888852098744E-3</v>
      </c>
    </row>
    <row r="35" spans="1:4" x14ac:dyDescent="0.25">
      <c r="A35" t="s">
        <v>58</v>
      </c>
      <c r="B35">
        <v>2023</v>
      </c>
      <c r="C35">
        <v>0.31</v>
      </c>
      <c r="D35">
        <v>1.8403146027679805E-2</v>
      </c>
    </row>
    <row r="36" spans="1:4" x14ac:dyDescent="0.25">
      <c r="A36" t="s">
        <v>75</v>
      </c>
      <c r="B36">
        <v>2023</v>
      </c>
      <c r="C36">
        <v>1.75</v>
      </c>
      <c r="D36">
        <v>0.33956044597507218</v>
      </c>
    </row>
    <row r="37" spans="1:4" x14ac:dyDescent="0.25">
      <c r="A37" t="s">
        <v>60</v>
      </c>
      <c r="B37">
        <v>2023</v>
      </c>
      <c r="C37">
        <v>1.23</v>
      </c>
      <c r="D37">
        <v>2.4367191195539085E-2</v>
      </c>
    </row>
    <row r="38" spans="1:4" x14ac:dyDescent="0.25">
      <c r="A38" t="s">
        <v>5</v>
      </c>
      <c r="B38">
        <v>2024</v>
      </c>
      <c r="C38">
        <v>0.2</v>
      </c>
      <c r="D38">
        <v>2.008893871208229E-2</v>
      </c>
    </row>
    <row r="39" spans="1:4" x14ac:dyDescent="0.25">
      <c r="A39" t="s">
        <v>13</v>
      </c>
      <c r="B39">
        <v>2024</v>
      </c>
      <c r="C39">
        <v>0.06</v>
      </c>
      <c r="D39">
        <v>3.2528520512050407E-2</v>
      </c>
    </row>
    <row r="40" spans="1:4" x14ac:dyDescent="0.25">
      <c r="A40" t="s">
        <v>17</v>
      </c>
      <c r="B40">
        <v>2024</v>
      </c>
      <c r="C40">
        <v>0.08</v>
      </c>
      <c r="D40">
        <v>2.5711701623670272E-2</v>
      </c>
    </row>
    <row r="41" spans="1:4" x14ac:dyDescent="0.25">
      <c r="A41" t="s">
        <v>19</v>
      </c>
      <c r="B41">
        <v>2024</v>
      </c>
      <c r="C41">
        <v>0.68</v>
      </c>
      <c r="D41">
        <v>2.0266296920856373E-2</v>
      </c>
    </row>
    <row r="42" spans="1:4" x14ac:dyDescent="0.25">
      <c r="A42" t="s">
        <v>21</v>
      </c>
      <c r="B42">
        <v>2024</v>
      </c>
      <c r="C42">
        <v>0.56000000000000005</v>
      </c>
      <c r="D42">
        <v>2.2685109251452271E-2</v>
      </c>
    </row>
    <row r="43" spans="1:4" x14ac:dyDescent="0.25">
      <c r="A43" t="s">
        <v>25</v>
      </c>
      <c r="B43">
        <v>2024</v>
      </c>
      <c r="C43">
        <v>0.1</v>
      </c>
      <c r="D43">
        <v>2.0368010224634182E-2</v>
      </c>
    </row>
    <row r="44" spans="1:4" x14ac:dyDescent="0.25">
      <c r="A44" t="s">
        <v>29</v>
      </c>
      <c r="B44">
        <v>2024</v>
      </c>
      <c r="C44">
        <v>0.19</v>
      </c>
      <c r="D44">
        <v>1.8887272002891593E-2</v>
      </c>
    </row>
    <row r="45" spans="1:4" x14ac:dyDescent="0.25">
      <c r="A45" t="s">
        <v>38</v>
      </c>
      <c r="B45">
        <v>2024</v>
      </c>
      <c r="C45">
        <v>0.12</v>
      </c>
      <c r="D45">
        <v>2.1945445152637934E-2</v>
      </c>
    </row>
    <row r="46" spans="1:4" x14ac:dyDescent="0.25">
      <c r="A46" t="s">
        <v>42</v>
      </c>
      <c r="B46">
        <v>2024</v>
      </c>
      <c r="C46">
        <v>0.09</v>
      </c>
      <c r="D46">
        <v>3.2784814370343564E-2</v>
      </c>
    </row>
    <row r="47" spans="1:4" x14ac:dyDescent="0.25">
      <c r="A47" t="s">
        <v>44</v>
      </c>
      <c r="B47">
        <v>2024</v>
      </c>
      <c r="C47">
        <v>0.16</v>
      </c>
      <c r="D47">
        <v>4.4969375748071326E-2</v>
      </c>
    </row>
    <row r="48" spans="1:4" x14ac:dyDescent="0.25">
      <c r="A48" t="s">
        <v>46</v>
      </c>
      <c r="B48">
        <v>2024</v>
      </c>
      <c r="C48">
        <v>0.02</v>
      </c>
      <c r="D48">
        <v>1.7112082110627345E-2</v>
      </c>
    </row>
    <row r="49" spans="1:4" x14ac:dyDescent="0.25">
      <c r="A49" t="s">
        <v>73</v>
      </c>
      <c r="B49">
        <v>2024</v>
      </c>
      <c r="C49">
        <v>1.62</v>
      </c>
      <c r="D49">
        <v>7.501484654936362E-2</v>
      </c>
    </row>
    <row r="50" spans="1:4" x14ac:dyDescent="0.25">
      <c r="A50" t="s">
        <v>54</v>
      </c>
      <c r="B50">
        <v>2024</v>
      </c>
      <c r="C50">
        <v>0.11</v>
      </c>
      <c r="D50">
        <v>2.1289211382842128E-2</v>
      </c>
    </row>
    <row r="51" spans="1:4" x14ac:dyDescent="0.25">
      <c r="A51" t="s">
        <v>56</v>
      </c>
      <c r="B51">
        <v>2024</v>
      </c>
      <c r="C51">
        <v>0.11</v>
      </c>
      <c r="D51">
        <v>2.4711848495400413E-2</v>
      </c>
    </row>
    <row r="52" spans="1:4" x14ac:dyDescent="0.25">
      <c r="A52" t="s">
        <v>65</v>
      </c>
      <c r="B52">
        <v>2024</v>
      </c>
      <c r="C52">
        <v>0.08</v>
      </c>
      <c r="D52">
        <v>7.569245382939775E-3</v>
      </c>
    </row>
    <row r="53" spans="1:4" x14ac:dyDescent="0.25">
      <c r="A53" t="s">
        <v>58</v>
      </c>
      <c r="B53">
        <v>2024</v>
      </c>
      <c r="C53">
        <v>0.32</v>
      </c>
      <c r="D53">
        <v>1.9082522771435701E-2</v>
      </c>
    </row>
    <row r="54" spans="1:4" x14ac:dyDescent="0.25">
      <c r="A54" t="s">
        <v>75</v>
      </c>
      <c r="B54">
        <v>2024</v>
      </c>
      <c r="C54">
        <v>1.41</v>
      </c>
      <c r="D54">
        <v>0.39561018358008804</v>
      </c>
    </row>
    <row r="55" spans="1:4" x14ac:dyDescent="0.25">
      <c r="A55" t="s">
        <v>60</v>
      </c>
      <c r="B55">
        <v>2024</v>
      </c>
      <c r="C55">
        <v>1.52</v>
      </c>
      <c r="D55">
        <v>2.3532641541251779E-2</v>
      </c>
    </row>
  </sheetData>
  <autoFilter ref="A1:D73" xr:uid="{0711BDBA-896E-4403-877E-592CBE55F716}">
    <sortState xmlns:xlrd2="http://schemas.microsoft.com/office/spreadsheetml/2017/richdata2" ref="A2:D73">
      <sortCondition ref="B1:B7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95D1-56D2-4368-94AC-64284E29076D}">
  <dimension ref="A1:Y181"/>
  <sheetViews>
    <sheetView tabSelected="1" workbookViewId="0">
      <selection activeCell="U8" sqref="U8"/>
    </sheetView>
  </sheetViews>
  <sheetFormatPr defaultRowHeight="15" x14ac:dyDescent="0.25"/>
  <cols>
    <col min="1" max="1" width="22.5703125" bestFit="1" customWidth="1"/>
    <col min="2" max="2" width="7" customWidth="1"/>
    <col min="3" max="3" width="29.28515625" customWidth="1"/>
    <col min="4" max="4" width="22.140625" customWidth="1"/>
    <col min="5" max="5" width="12.42578125" customWidth="1"/>
    <col min="6" max="6" width="35.7109375" customWidth="1"/>
    <col min="7" max="7" width="14.28515625" customWidth="1"/>
    <col min="8" max="8" width="22" style="4" customWidth="1"/>
    <col min="9" max="9" width="28.85546875" customWidth="1"/>
    <col min="10" max="10" width="21.140625" customWidth="1"/>
    <col min="11" max="11" width="20.7109375" customWidth="1"/>
    <col min="12" max="12" width="23.28515625" customWidth="1"/>
    <col min="13" max="13" width="19.140625" customWidth="1"/>
    <col min="14" max="14" width="28.7109375" customWidth="1"/>
    <col min="15" max="15" width="20.7109375" customWidth="1"/>
    <col min="16" max="16" width="20.5703125" customWidth="1"/>
    <col min="17" max="17" width="22.7109375" style="4" customWidth="1"/>
    <col min="18" max="18" width="33.7109375" customWidth="1"/>
    <col min="19" max="19" width="20.140625" customWidth="1"/>
  </cols>
  <sheetData>
    <row r="1" spans="1:19" x14ac:dyDescent="0.25">
      <c r="A1" t="s">
        <v>1</v>
      </c>
      <c r="B1" t="s">
        <v>110</v>
      </c>
      <c r="C1" t="s">
        <v>95</v>
      </c>
      <c r="D1" t="s">
        <v>113</v>
      </c>
      <c r="E1" t="s">
        <v>114</v>
      </c>
      <c r="F1" t="s">
        <v>122</v>
      </c>
      <c r="G1" t="s">
        <v>115</v>
      </c>
      <c r="H1" s="4" t="s">
        <v>109</v>
      </c>
      <c r="I1" t="s">
        <v>108</v>
      </c>
      <c r="J1" t="s">
        <v>125</v>
      </c>
      <c r="K1" t="s">
        <v>126</v>
      </c>
      <c r="L1" t="s">
        <v>130</v>
      </c>
      <c r="M1" t="s">
        <v>116</v>
      </c>
      <c r="N1" t="s">
        <v>117</v>
      </c>
      <c r="O1" t="s">
        <v>118</v>
      </c>
      <c r="P1" t="s">
        <v>119</v>
      </c>
      <c r="Q1" s="4" t="s">
        <v>120</v>
      </c>
      <c r="R1" t="s">
        <v>121</v>
      </c>
      <c r="S1" t="s">
        <v>129</v>
      </c>
    </row>
    <row r="2" spans="1:19" x14ac:dyDescent="0.25">
      <c r="A2" t="s">
        <v>3</v>
      </c>
      <c r="B2">
        <v>2022</v>
      </c>
      <c r="C2">
        <v>2058.9</v>
      </c>
      <c r="D2">
        <v>1.2023769531872841E-2</v>
      </c>
      <c r="F2">
        <v>1.7026776012476506E-2</v>
      </c>
      <c r="G2">
        <v>1</v>
      </c>
      <c r="H2" s="4" t="s">
        <v>105</v>
      </c>
      <c r="I2">
        <v>0</v>
      </c>
      <c r="J2">
        <v>1</v>
      </c>
      <c r="K2">
        <v>0</v>
      </c>
      <c r="L2">
        <v>80.696538681888541</v>
      </c>
      <c r="M2">
        <v>3.9704154282159398E-2</v>
      </c>
      <c r="N2">
        <v>0</v>
      </c>
      <c r="P2">
        <v>0</v>
      </c>
      <c r="Q2" s="4">
        <f>(K2/J2)</f>
        <v>0</v>
      </c>
      <c r="R2">
        <v>-2.7200473106591964E-2</v>
      </c>
      <c r="S2">
        <v>0</v>
      </c>
    </row>
    <row r="3" spans="1:19" x14ac:dyDescent="0.25">
      <c r="A3" t="s">
        <v>3</v>
      </c>
      <c r="B3">
        <v>2023</v>
      </c>
      <c r="C3">
        <v>2058.9</v>
      </c>
      <c r="D3">
        <v>1.7026776012476506E-2</v>
      </c>
      <c r="F3">
        <v>1.9795698483993811E-2</v>
      </c>
      <c r="G3">
        <v>1</v>
      </c>
      <c r="H3" s="4" t="s">
        <v>101</v>
      </c>
      <c r="I3">
        <v>1</v>
      </c>
      <c r="J3">
        <v>1</v>
      </c>
      <c r="K3">
        <v>0</v>
      </c>
      <c r="L3">
        <v>141.75403396144679</v>
      </c>
      <c r="M3">
        <v>5.9651155726324248E-2</v>
      </c>
      <c r="N3">
        <v>0</v>
      </c>
      <c r="P3">
        <v>0</v>
      </c>
      <c r="Q3" s="4">
        <f>(K3/J3)</f>
        <v>0</v>
      </c>
      <c r="R3">
        <v>0.41609301204099086</v>
      </c>
      <c r="S3">
        <v>0</v>
      </c>
    </row>
    <row r="4" spans="1:19" x14ac:dyDescent="0.25">
      <c r="A4" t="s">
        <v>3</v>
      </c>
      <c r="B4">
        <v>2024</v>
      </c>
      <c r="C4">
        <v>2058.9</v>
      </c>
      <c r="D4">
        <v>1.9795698483993811E-2</v>
      </c>
      <c r="F4">
        <v>2.0325031435452803E-2</v>
      </c>
      <c r="G4">
        <v>1</v>
      </c>
      <c r="H4" s="4" t="s">
        <v>7</v>
      </c>
      <c r="I4">
        <v>0</v>
      </c>
      <c r="J4">
        <v>38</v>
      </c>
      <c r="K4">
        <v>0</v>
      </c>
      <c r="L4">
        <v>191.0387039565999</v>
      </c>
      <c r="M4">
        <v>6.8410628476840277E-2</v>
      </c>
      <c r="N4">
        <v>0</v>
      </c>
      <c r="P4">
        <v>37</v>
      </c>
      <c r="Q4" s="4">
        <f>(K4/J4)</f>
        <v>0</v>
      </c>
      <c r="R4">
        <v>0.16262165365236228</v>
      </c>
      <c r="S4">
        <v>0</v>
      </c>
    </row>
    <row r="5" spans="1:19" x14ac:dyDescent="0.25">
      <c r="A5" t="s">
        <v>3</v>
      </c>
      <c r="B5">
        <v>2025</v>
      </c>
      <c r="C5">
        <v>2058.9</v>
      </c>
      <c r="D5">
        <v>2.0325031435452803E-2</v>
      </c>
      <c r="G5">
        <v>1</v>
      </c>
      <c r="H5" s="4" t="s">
        <v>29</v>
      </c>
      <c r="I5">
        <v>0</v>
      </c>
      <c r="J5">
        <v>23</v>
      </c>
      <c r="K5">
        <v>0</v>
      </c>
      <c r="L5">
        <v>224.1709615887489</v>
      </c>
      <c r="M5">
        <v>6.7060391038948966E-2</v>
      </c>
      <c r="P5">
        <v>-0.39473684210526316</v>
      </c>
      <c r="Q5" s="4">
        <f>(K5/J5)</f>
        <v>0</v>
      </c>
      <c r="R5">
        <v>2.6739796622331568E-2</v>
      </c>
      <c r="S5">
        <v>0</v>
      </c>
    </row>
    <row r="6" spans="1:19" x14ac:dyDescent="0.25">
      <c r="A6" t="s">
        <v>77</v>
      </c>
      <c r="B6">
        <v>2022</v>
      </c>
      <c r="C6">
        <v>1804.07</v>
      </c>
      <c r="D6">
        <v>4.0817459592559398E-2</v>
      </c>
      <c r="F6">
        <v>5.506298148505661E-2</v>
      </c>
      <c r="G6">
        <v>0</v>
      </c>
      <c r="H6" s="4" t="s">
        <v>73</v>
      </c>
      <c r="I6">
        <v>0</v>
      </c>
      <c r="J6">
        <v>29</v>
      </c>
      <c r="K6">
        <v>0</v>
      </c>
      <c r="L6">
        <v>278.10075608482578</v>
      </c>
      <c r="M6" s="4">
        <v>0.15473492702634006</v>
      </c>
      <c r="N6">
        <v>0</v>
      </c>
      <c r="P6">
        <v>-9.375E-2</v>
      </c>
      <c r="Q6" s="4">
        <f>(K6/J6)</f>
        <v>0</v>
      </c>
      <c r="R6">
        <v>-8.5864808526604275E-2</v>
      </c>
      <c r="S6">
        <v>0</v>
      </c>
    </row>
    <row r="7" spans="1:19" x14ac:dyDescent="0.25">
      <c r="A7" t="s">
        <v>77</v>
      </c>
      <c r="B7">
        <v>2023</v>
      </c>
      <c r="C7">
        <v>1804.07</v>
      </c>
      <c r="D7">
        <v>5.506298148505661E-2</v>
      </c>
      <c r="F7">
        <v>5.4642627971804504E-2</v>
      </c>
      <c r="G7">
        <v>0</v>
      </c>
      <c r="H7" s="4" t="s">
        <v>123</v>
      </c>
      <c r="I7">
        <v>0</v>
      </c>
      <c r="J7">
        <v>7</v>
      </c>
      <c r="K7">
        <v>0</v>
      </c>
      <c r="L7">
        <v>456.95611945455516</v>
      </c>
      <c r="M7" s="4">
        <v>0.20404251290749606</v>
      </c>
      <c r="N7">
        <v>0</v>
      </c>
      <c r="P7">
        <v>-0.75862068965517238</v>
      </c>
      <c r="Q7" s="4">
        <f>(K7/J7)</f>
        <v>0</v>
      </c>
      <c r="R7">
        <v>0.34900559796460295</v>
      </c>
      <c r="S7">
        <v>0</v>
      </c>
    </row>
    <row r="8" spans="1:19" x14ac:dyDescent="0.25">
      <c r="A8" t="s">
        <v>77</v>
      </c>
      <c r="B8">
        <v>2024</v>
      </c>
      <c r="C8">
        <v>1804.07</v>
      </c>
      <c r="D8">
        <v>5.4642627971804504E-2</v>
      </c>
      <c r="F8">
        <v>6.0935459852055333E-2</v>
      </c>
      <c r="G8">
        <v>0</v>
      </c>
      <c r="H8" s="4" t="s">
        <v>107</v>
      </c>
      <c r="I8">
        <v>0</v>
      </c>
      <c r="J8">
        <v>32</v>
      </c>
      <c r="K8">
        <v>0</v>
      </c>
      <c r="L8">
        <v>475.21994308369943</v>
      </c>
      <c r="M8" s="4">
        <v>0.18847121067954464</v>
      </c>
      <c r="N8">
        <v>0</v>
      </c>
      <c r="P8">
        <v>3.5714285714285716</v>
      </c>
      <c r="Q8" s="4">
        <f>(K8/J8)</f>
        <v>0</v>
      </c>
      <c r="R8">
        <v>-7.6340492634999133E-3</v>
      </c>
      <c r="S8">
        <v>0</v>
      </c>
    </row>
    <row r="9" spans="1:19" x14ac:dyDescent="0.25">
      <c r="A9" t="s">
        <v>77</v>
      </c>
      <c r="B9">
        <v>2025</v>
      </c>
      <c r="C9">
        <v>1804.07</v>
      </c>
      <c r="D9">
        <v>6.0935459852055333E-2</v>
      </c>
      <c r="G9">
        <v>0</v>
      </c>
      <c r="H9" s="4" t="s">
        <v>107</v>
      </c>
      <c r="I9">
        <v>0</v>
      </c>
      <c r="J9">
        <v>21</v>
      </c>
      <c r="K9">
        <v>0</v>
      </c>
      <c r="L9">
        <v>582.20437631367508</v>
      </c>
      <c r="M9" s="4">
        <v>0.19890422202414262</v>
      </c>
      <c r="P9">
        <v>-0.34375</v>
      </c>
      <c r="Q9" s="4">
        <f>(K9/J9)</f>
        <v>0</v>
      </c>
      <c r="R9">
        <v>0.11516341936368651</v>
      </c>
      <c r="S9">
        <v>0</v>
      </c>
    </row>
    <row r="10" spans="1:19" x14ac:dyDescent="0.25">
      <c r="A10" t="s">
        <v>64</v>
      </c>
      <c r="B10">
        <v>2022</v>
      </c>
      <c r="C10">
        <v>1669.7</v>
      </c>
      <c r="D10">
        <v>7.643605175745795E-3</v>
      </c>
      <c r="F10">
        <v>8.6242739427416937E-3</v>
      </c>
      <c r="G10">
        <v>0</v>
      </c>
      <c r="H10" s="4" t="s">
        <v>29</v>
      </c>
      <c r="I10">
        <v>0</v>
      </c>
      <c r="J10">
        <v>5</v>
      </c>
      <c r="K10">
        <v>3</v>
      </c>
      <c r="L10">
        <v>401.71603994500811</v>
      </c>
      <c r="M10">
        <v>1.4463345825087371E-2</v>
      </c>
      <c r="N10">
        <v>0</v>
      </c>
      <c r="O10">
        <v>1.6666666666666667</v>
      </c>
      <c r="P10">
        <v>-0.8529411764705882</v>
      </c>
      <c r="Q10" s="4">
        <f>(K10/J10)</f>
        <v>0.6</v>
      </c>
      <c r="R10">
        <v>-0.12496054410239114</v>
      </c>
      <c r="S10">
        <v>0</v>
      </c>
    </row>
    <row r="11" spans="1:19" x14ac:dyDescent="0.25">
      <c r="A11" t="s">
        <v>64</v>
      </c>
      <c r="B11">
        <v>2023</v>
      </c>
      <c r="C11">
        <v>1669.7</v>
      </c>
      <c r="D11">
        <v>8.6242739427416937E-3</v>
      </c>
      <c r="F11">
        <v>9.9051270149627547E-3</v>
      </c>
      <c r="G11">
        <v>0</v>
      </c>
      <c r="H11" s="4" t="s">
        <v>29</v>
      </c>
      <c r="I11">
        <v>0</v>
      </c>
      <c r="J11">
        <v>17</v>
      </c>
      <c r="K11" s="4">
        <v>4</v>
      </c>
      <c r="L11">
        <v>487.32243393204629</v>
      </c>
      <c r="M11">
        <v>1.6527036402792874E-2</v>
      </c>
      <c r="N11">
        <v>0</v>
      </c>
      <c r="O11">
        <v>4.25</v>
      </c>
      <c r="P11">
        <v>2.4</v>
      </c>
      <c r="Q11" s="4">
        <f>(K11/J11)</f>
        <v>0.23529411764705882</v>
      </c>
      <c r="R11">
        <v>0.12829924419797281</v>
      </c>
      <c r="S11">
        <v>0.33333333333333331</v>
      </c>
    </row>
    <row r="12" spans="1:19" x14ac:dyDescent="0.25">
      <c r="A12" t="s">
        <v>64</v>
      </c>
      <c r="B12">
        <v>2024</v>
      </c>
      <c r="C12">
        <v>1669.7</v>
      </c>
      <c r="D12">
        <v>9.9051270149627547E-3</v>
      </c>
      <c r="F12">
        <v>1.1006335138112954E-2</v>
      </c>
      <c r="G12">
        <v>0</v>
      </c>
      <c r="H12" s="4" t="s">
        <v>29</v>
      </c>
      <c r="I12">
        <v>0</v>
      </c>
      <c r="J12">
        <v>13</v>
      </c>
      <c r="K12">
        <v>23</v>
      </c>
      <c r="L12">
        <v>580.22312134480046</v>
      </c>
      <c r="M12">
        <v>1.8038472737727091E-2</v>
      </c>
      <c r="N12">
        <v>0</v>
      </c>
      <c r="O12">
        <v>0.56521739130434778</v>
      </c>
      <c r="P12">
        <v>-0.23529411764705882</v>
      </c>
      <c r="Q12" s="4">
        <f>(K12/J12)</f>
        <v>1.7692307692307692</v>
      </c>
      <c r="R12">
        <v>0.14851720628599052</v>
      </c>
      <c r="S12">
        <v>4.75</v>
      </c>
    </row>
    <row r="13" spans="1:19" x14ac:dyDescent="0.25">
      <c r="A13" t="s">
        <v>64</v>
      </c>
      <c r="B13">
        <v>2025</v>
      </c>
      <c r="C13">
        <v>1669.7</v>
      </c>
      <c r="D13">
        <v>1.1006335138112954E-2</v>
      </c>
      <c r="G13">
        <v>0</v>
      </c>
      <c r="H13" s="4" t="s">
        <v>106</v>
      </c>
      <c r="I13">
        <v>0</v>
      </c>
      <c r="J13">
        <v>29</v>
      </c>
      <c r="K13">
        <v>1</v>
      </c>
      <c r="L13">
        <v>696.87950588792808</v>
      </c>
      <c r="M13">
        <v>2.0010303600930878E-2</v>
      </c>
      <c r="O13">
        <v>29</v>
      </c>
      <c r="P13">
        <v>1.2307692307692308</v>
      </c>
      <c r="Q13" s="4">
        <f>(K13/J13)</f>
        <v>3.4482758620689655E-2</v>
      </c>
      <c r="R13">
        <v>0.11117556811605815</v>
      </c>
      <c r="S13">
        <v>-0.95652173913043481</v>
      </c>
    </row>
    <row r="14" spans="1:19" x14ac:dyDescent="0.25">
      <c r="A14" t="s">
        <v>78</v>
      </c>
      <c r="B14">
        <v>2022</v>
      </c>
      <c r="C14">
        <v>1927.38</v>
      </c>
      <c r="D14">
        <v>3.7953702508048276E-2</v>
      </c>
      <c r="F14">
        <v>4.917500755309092E-2</v>
      </c>
      <c r="G14">
        <v>0</v>
      </c>
      <c r="H14" s="4" t="s">
        <v>58</v>
      </c>
      <c r="I14">
        <v>0</v>
      </c>
      <c r="J14">
        <v>9</v>
      </c>
      <c r="K14">
        <v>1</v>
      </c>
      <c r="L14">
        <v>291.55280734139507</v>
      </c>
      <c r="M14" s="4">
        <v>0.14498887938408897</v>
      </c>
      <c r="N14">
        <v>0</v>
      </c>
      <c r="O14">
        <v>9</v>
      </c>
      <c r="P14">
        <v>-0.7</v>
      </c>
      <c r="Q14" s="4">
        <f>(K14/J14)</f>
        <v>0.1111111111111111</v>
      </c>
      <c r="R14">
        <v>-0.2302288102019138</v>
      </c>
      <c r="S14">
        <v>1</v>
      </c>
    </row>
    <row r="15" spans="1:19" x14ac:dyDescent="0.25">
      <c r="A15" t="s">
        <v>78</v>
      </c>
      <c r="B15">
        <v>2023</v>
      </c>
      <c r="C15">
        <v>1927.38</v>
      </c>
      <c r="D15">
        <v>4.917500755309092E-2</v>
      </c>
      <c r="F15">
        <v>5.0824778172665175E-2</v>
      </c>
      <c r="G15">
        <v>0</v>
      </c>
      <c r="H15" s="4" t="s">
        <v>58</v>
      </c>
      <c r="I15">
        <v>0</v>
      </c>
      <c r="J15">
        <v>3</v>
      </c>
      <c r="K15">
        <v>2</v>
      </c>
      <c r="L15">
        <v>344.7347913068171</v>
      </c>
      <c r="M15" s="4">
        <v>0.15025908278737346</v>
      </c>
      <c r="N15">
        <v>0</v>
      </c>
      <c r="O15">
        <v>1.5</v>
      </c>
      <c r="P15">
        <v>-0.66666666666666663</v>
      </c>
      <c r="Q15" s="4">
        <f>(K15/J15)</f>
        <v>0.66666666666666663</v>
      </c>
      <c r="R15">
        <v>0.29565771725862872</v>
      </c>
      <c r="S15">
        <v>1</v>
      </c>
    </row>
    <row r="16" spans="1:19" x14ac:dyDescent="0.25">
      <c r="A16" t="s">
        <v>78</v>
      </c>
      <c r="B16">
        <v>2024</v>
      </c>
      <c r="C16">
        <v>1927.38</v>
      </c>
      <c r="D16">
        <v>5.0824778172665175E-2</v>
      </c>
      <c r="F16">
        <v>6.4655059562769984E-2</v>
      </c>
      <c r="G16">
        <v>0</v>
      </c>
      <c r="H16" s="4" t="s">
        <v>72</v>
      </c>
      <c r="I16">
        <v>0</v>
      </c>
      <c r="J16">
        <v>75</v>
      </c>
      <c r="K16">
        <v>2</v>
      </c>
      <c r="L16">
        <v>366.53717366693468</v>
      </c>
      <c r="M16" s="4">
        <v>0.14988445378151261</v>
      </c>
      <c r="N16" s="4">
        <v>0</v>
      </c>
      <c r="O16">
        <v>37.5</v>
      </c>
      <c r="P16">
        <v>24</v>
      </c>
      <c r="Q16" s="4">
        <f>(K16/J16)</f>
        <v>2.6666666666666668E-2</v>
      </c>
      <c r="R16">
        <v>3.3548965250144787E-2</v>
      </c>
      <c r="S16">
        <v>0</v>
      </c>
    </row>
    <row r="17" spans="1:19" x14ac:dyDescent="0.25">
      <c r="A17" t="s">
        <v>78</v>
      </c>
      <c r="B17">
        <v>2025</v>
      </c>
      <c r="C17">
        <v>1927.38</v>
      </c>
      <c r="D17">
        <v>6.4655059562769984E-2</v>
      </c>
      <c r="G17">
        <v>0</v>
      </c>
      <c r="H17" s="4" t="s">
        <v>103</v>
      </c>
      <c r="I17">
        <v>0</v>
      </c>
      <c r="J17">
        <v>463</v>
      </c>
      <c r="K17">
        <v>2</v>
      </c>
      <c r="L17">
        <v>476.3527830711223</v>
      </c>
      <c r="M17" s="4">
        <v>0.17684611820211463</v>
      </c>
      <c r="O17">
        <v>231.5</v>
      </c>
      <c r="P17">
        <v>5.1733333333333329</v>
      </c>
      <c r="Q17" s="4">
        <f>(K17/J17)</f>
        <v>4.3196544276457886E-3</v>
      </c>
      <c r="R17">
        <v>0.27211690611063161</v>
      </c>
      <c r="S17">
        <v>0</v>
      </c>
    </row>
    <row r="18" spans="1:19" x14ac:dyDescent="0.25">
      <c r="A18" t="s">
        <v>72</v>
      </c>
      <c r="B18">
        <v>2022</v>
      </c>
      <c r="C18">
        <v>675.76</v>
      </c>
      <c r="D18">
        <v>1.6285504875065165E-2</v>
      </c>
      <c r="F18">
        <v>1.9280723405621904E-2</v>
      </c>
      <c r="G18">
        <v>0</v>
      </c>
      <c r="H18" s="4" t="s">
        <v>73</v>
      </c>
      <c r="I18">
        <v>0</v>
      </c>
      <c r="J18">
        <v>215</v>
      </c>
      <c r="K18">
        <v>58</v>
      </c>
      <c r="L18">
        <v>130.57977234688229</v>
      </c>
      <c r="M18" s="4">
        <v>4.284878115026821E-2</v>
      </c>
      <c r="N18" s="4">
        <v>0</v>
      </c>
      <c r="O18">
        <v>3.7068965517241379</v>
      </c>
      <c r="P18">
        <v>2.1159420289855073</v>
      </c>
      <c r="Q18" s="4">
        <f>(K18/J18)</f>
        <v>0.26976744186046514</v>
      </c>
      <c r="R18">
        <v>-6.7175930868718883E-2</v>
      </c>
      <c r="S18">
        <v>-0.47747747747747749</v>
      </c>
    </row>
    <row r="19" spans="1:19" x14ac:dyDescent="0.25">
      <c r="A19" t="s">
        <v>72</v>
      </c>
      <c r="B19">
        <v>2023</v>
      </c>
      <c r="C19">
        <v>675.76</v>
      </c>
      <c r="D19">
        <v>1.9280723405621904E-2</v>
      </c>
      <c r="F19">
        <v>1.9795747379827307E-2</v>
      </c>
      <c r="G19">
        <v>0</v>
      </c>
      <c r="H19" s="4" t="s">
        <v>73</v>
      </c>
      <c r="I19">
        <v>0</v>
      </c>
      <c r="J19">
        <v>178</v>
      </c>
      <c r="K19" s="4">
        <v>45</v>
      </c>
      <c r="L19">
        <v>152.80178644715048</v>
      </c>
      <c r="M19" s="4">
        <v>4.8219284960301069E-2</v>
      </c>
      <c r="N19" s="4">
        <v>0</v>
      </c>
      <c r="O19">
        <v>3.9555555555555557</v>
      </c>
      <c r="P19">
        <v>-0.17209302325581396</v>
      </c>
      <c r="Q19" s="4">
        <f>(K19/J19)</f>
        <v>0.25280898876404495</v>
      </c>
      <c r="R19">
        <v>0.18391929225005088</v>
      </c>
      <c r="S19">
        <v>-0.22413793103448276</v>
      </c>
    </row>
    <row r="20" spans="1:19" x14ac:dyDescent="0.25">
      <c r="A20" t="s">
        <v>72</v>
      </c>
      <c r="B20">
        <v>2024</v>
      </c>
      <c r="C20">
        <v>675.76</v>
      </c>
      <c r="D20">
        <v>1.9795747379827307E-2</v>
      </c>
      <c r="F20">
        <v>2.3973873975455792E-2</v>
      </c>
      <c r="G20">
        <v>0</v>
      </c>
      <c r="H20" s="4" t="s">
        <v>73</v>
      </c>
      <c r="I20">
        <v>0</v>
      </c>
      <c r="J20">
        <v>399</v>
      </c>
      <c r="K20">
        <v>65</v>
      </c>
      <c r="L20">
        <v>165.50065318708624</v>
      </c>
      <c r="M20" s="4">
        <v>4.8418604189811143E-2</v>
      </c>
      <c r="N20" s="4">
        <v>0</v>
      </c>
      <c r="O20">
        <v>6.1384615384615389</v>
      </c>
      <c r="P20">
        <v>1.2415730337078652</v>
      </c>
      <c r="Q20" s="4">
        <f>(K20/J20)</f>
        <v>0.16290726817042606</v>
      </c>
      <c r="R20">
        <v>2.6711859475938141E-2</v>
      </c>
      <c r="S20">
        <v>0.44444444444444442</v>
      </c>
    </row>
    <row r="21" spans="1:19" x14ac:dyDescent="0.25">
      <c r="A21" t="s">
        <v>72</v>
      </c>
      <c r="B21">
        <v>2025</v>
      </c>
      <c r="C21">
        <v>675.76</v>
      </c>
      <c r="D21">
        <v>2.3973873975455792E-2</v>
      </c>
      <c r="G21">
        <v>0</v>
      </c>
      <c r="H21" s="4" t="s">
        <v>73</v>
      </c>
      <c r="I21">
        <v>0</v>
      </c>
      <c r="J21">
        <v>466</v>
      </c>
      <c r="K21">
        <v>1</v>
      </c>
      <c r="L21">
        <v>214.74281793929464</v>
      </c>
      <c r="M21" s="4">
        <v>5.7092884184779188E-2</v>
      </c>
      <c r="O21">
        <v>466</v>
      </c>
      <c r="P21">
        <v>0.16791979949874686</v>
      </c>
      <c r="Q21" s="4">
        <f>(K21/J21)</f>
        <v>2.1459227467811159E-3</v>
      </c>
      <c r="R21">
        <v>0.21106182633377965</v>
      </c>
      <c r="S21">
        <v>-0.98461538461538467</v>
      </c>
    </row>
    <row r="22" spans="1:19" x14ac:dyDescent="0.25">
      <c r="A22" t="s">
        <v>5</v>
      </c>
      <c r="B22">
        <v>2022</v>
      </c>
      <c r="C22">
        <v>2252.9899999999998</v>
      </c>
      <c r="D22">
        <v>1.1670931399473124E-2</v>
      </c>
      <c r="E22">
        <v>0.49</v>
      </c>
      <c r="F22">
        <v>1.1723236787370287E-2</v>
      </c>
      <c r="G22">
        <v>1</v>
      </c>
      <c r="H22" s="4" t="s">
        <v>54</v>
      </c>
      <c r="I22">
        <v>0</v>
      </c>
      <c r="J22">
        <v>170</v>
      </c>
      <c r="K22">
        <v>129</v>
      </c>
      <c r="L22">
        <v>595.44259569904261</v>
      </c>
      <c r="M22">
        <v>2.2239120619477137E-2</v>
      </c>
      <c r="N22" s="4">
        <v>0</v>
      </c>
      <c r="O22">
        <v>1.317829457364341</v>
      </c>
      <c r="P22">
        <v>-0.33333333333333331</v>
      </c>
      <c r="Q22" s="4">
        <f>(K22/J22)</f>
        <v>0.75882352941176467</v>
      </c>
      <c r="R22">
        <v>0.11941663307343732</v>
      </c>
      <c r="S22">
        <v>0.30303030303030304</v>
      </c>
    </row>
    <row r="23" spans="1:19" x14ac:dyDescent="0.25">
      <c r="A23" t="s">
        <v>5</v>
      </c>
      <c r="B23">
        <v>2023</v>
      </c>
      <c r="C23">
        <v>2252.9899999999998</v>
      </c>
      <c r="D23">
        <v>1.1723236787370287E-2</v>
      </c>
      <c r="E23">
        <v>0.21</v>
      </c>
      <c r="F23">
        <v>1.2760212539083673E-2</v>
      </c>
      <c r="G23">
        <v>1</v>
      </c>
      <c r="H23" s="4" t="s">
        <v>101</v>
      </c>
      <c r="I23">
        <v>1</v>
      </c>
      <c r="J23">
        <v>12</v>
      </c>
      <c r="K23" s="4">
        <v>41</v>
      </c>
      <c r="L23">
        <v>652.72994609498062</v>
      </c>
      <c r="M23">
        <v>2.2223620897466961E-2</v>
      </c>
      <c r="N23" s="4">
        <v>0</v>
      </c>
      <c r="O23">
        <v>0.29268292682926828</v>
      </c>
      <c r="P23">
        <v>-0.92941176470588238</v>
      </c>
      <c r="Q23" s="4">
        <f>(K23/J23)</f>
        <v>3.4166666666666665</v>
      </c>
      <c r="R23">
        <v>4.4816806908422368E-3</v>
      </c>
      <c r="S23">
        <v>-0.68217054263565891</v>
      </c>
    </row>
    <row r="24" spans="1:19" x14ac:dyDescent="0.25">
      <c r="A24" t="s">
        <v>5</v>
      </c>
      <c r="B24">
        <v>2024</v>
      </c>
      <c r="C24">
        <v>2252.9899999999998</v>
      </c>
      <c r="D24">
        <v>1.2760212539083673E-2</v>
      </c>
      <c r="E24">
        <v>0.2</v>
      </c>
      <c r="F24">
        <v>2.008893871208229E-2</v>
      </c>
      <c r="G24">
        <v>1</v>
      </c>
      <c r="H24" s="4" t="s">
        <v>101</v>
      </c>
      <c r="I24">
        <v>1</v>
      </c>
      <c r="J24">
        <v>508</v>
      </c>
      <c r="K24">
        <v>69</v>
      </c>
      <c r="L24">
        <v>730.47895859237212</v>
      </c>
      <c r="M24">
        <v>2.3658330991851644E-2</v>
      </c>
      <c r="N24" s="4">
        <v>0</v>
      </c>
      <c r="O24">
        <v>7.36231884057971</v>
      </c>
      <c r="P24">
        <v>41.333333333333336</v>
      </c>
      <c r="Q24" s="4">
        <f>(K24/J24)</f>
        <v>0.13582677165354332</v>
      </c>
      <c r="R24">
        <v>8.8454730593733683E-2</v>
      </c>
      <c r="S24">
        <v>0.68292682926829273</v>
      </c>
    </row>
    <row r="25" spans="1:19" s="4" customFormat="1" x14ac:dyDescent="0.25">
      <c r="A25" t="s">
        <v>5</v>
      </c>
      <c r="B25">
        <v>2025</v>
      </c>
      <c r="C25">
        <v>2252.9899999999998</v>
      </c>
      <c r="D25">
        <v>2.008893871208229E-2</v>
      </c>
      <c r="E25">
        <v>0.26</v>
      </c>
      <c r="F25"/>
      <c r="G25">
        <v>1</v>
      </c>
      <c r="H25" s="4" t="s">
        <v>101</v>
      </c>
      <c r="I25">
        <v>1</v>
      </c>
      <c r="J25">
        <v>430</v>
      </c>
      <c r="K25">
        <v>86</v>
      </c>
      <c r="L25">
        <v>1236.778747022717</v>
      </c>
      <c r="M25">
        <v>3.673361145408869E-2</v>
      </c>
      <c r="N25"/>
      <c r="O25">
        <v>5</v>
      </c>
      <c r="P25">
        <v>-0.15354330708661418</v>
      </c>
      <c r="Q25" s="4">
        <f>(K25/J25)</f>
        <v>0.2</v>
      </c>
      <c r="R25">
        <v>0.57434201433175347</v>
      </c>
      <c r="S25">
        <v>0.24637681159420291</v>
      </c>
    </row>
    <row r="26" spans="1:19" s="4" customFormat="1" x14ac:dyDescent="0.25">
      <c r="A26" t="s">
        <v>70</v>
      </c>
      <c r="B26">
        <v>2022</v>
      </c>
      <c r="C26">
        <v>1898.45</v>
      </c>
      <c r="D26">
        <v>7.5202873074921789E-3</v>
      </c>
      <c r="E26"/>
      <c r="F26">
        <v>7.857723533323235E-3</v>
      </c>
      <c r="G26">
        <v>0</v>
      </c>
      <c r="H26" s="4" t="s">
        <v>105</v>
      </c>
      <c r="I26">
        <v>0</v>
      </c>
      <c r="J26">
        <v>9.25</v>
      </c>
      <c r="K26">
        <v>2</v>
      </c>
      <c r="L26">
        <v>57.380056264028546</v>
      </c>
      <c r="M26">
        <v>1.9102399910908178E-2</v>
      </c>
      <c r="N26" s="4">
        <v>0</v>
      </c>
      <c r="O26">
        <v>4.625</v>
      </c>
      <c r="P26">
        <v>-0.22916666666666666</v>
      </c>
      <c r="Q26" s="4">
        <f>(K26/J26)</f>
        <v>0.21621621621621623</v>
      </c>
      <c r="R26">
        <v>-0.15133707791652204</v>
      </c>
      <c r="S26">
        <v>-5.2132701421800889E-2</v>
      </c>
    </row>
    <row r="27" spans="1:19" s="4" customFormat="1" x14ac:dyDescent="0.25">
      <c r="A27" t="s">
        <v>70</v>
      </c>
      <c r="B27">
        <v>2023</v>
      </c>
      <c r="C27">
        <v>1898.45</v>
      </c>
      <c r="D27">
        <v>7.857723533323235E-3</v>
      </c>
      <c r="E27"/>
      <c r="F27">
        <v>7.6221540607898904E-3</v>
      </c>
      <c r="G27">
        <v>0</v>
      </c>
      <c r="H27" s="4" t="s">
        <v>105</v>
      </c>
      <c r="I27">
        <v>0</v>
      </c>
      <c r="J27">
        <v>6.5</v>
      </c>
      <c r="K27">
        <v>7</v>
      </c>
      <c r="L27">
        <v>67.871491869749022</v>
      </c>
      <c r="M27">
        <v>1.8839585034340328E-2</v>
      </c>
      <c r="N27" s="4">
        <v>0</v>
      </c>
      <c r="O27">
        <v>0.9285714285714286</v>
      </c>
      <c r="P27">
        <v>-0.29729729729729731</v>
      </c>
      <c r="Q27" s="4">
        <f>(K27/J27)</f>
        <v>1.0769230769230769</v>
      </c>
      <c r="R27">
        <v>4.4870124243109849E-2</v>
      </c>
      <c r="S27">
        <v>2.5</v>
      </c>
    </row>
    <row r="28" spans="1:19" s="4" customFormat="1" x14ac:dyDescent="0.25">
      <c r="A28" t="s">
        <v>70</v>
      </c>
      <c r="B28">
        <v>2024</v>
      </c>
      <c r="C28">
        <v>1898.45</v>
      </c>
      <c r="D28">
        <v>7.6221540607898904E-3</v>
      </c>
      <c r="E28"/>
      <c r="F28">
        <v>7.2833029003416148E-3</v>
      </c>
      <c r="G28">
        <v>0</v>
      </c>
      <c r="H28" s="4" t="s">
        <v>105</v>
      </c>
      <c r="I28">
        <v>0</v>
      </c>
      <c r="J28">
        <v>3.75</v>
      </c>
      <c r="K28">
        <v>7</v>
      </c>
      <c r="L28">
        <v>68.028822000613388</v>
      </c>
      <c r="M28">
        <v>1.6839241052177663E-2</v>
      </c>
      <c r="N28" s="4">
        <v>0</v>
      </c>
      <c r="O28">
        <v>0.5357142857142857</v>
      </c>
      <c r="P28">
        <v>-0.42307692307692307</v>
      </c>
      <c r="Q28" s="4">
        <f>(K28/J28)</f>
        <v>1.8666666666666667</v>
      </c>
      <c r="R28">
        <v>-2.9979353630136717E-2</v>
      </c>
      <c r="S28">
        <v>0</v>
      </c>
    </row>
    <row r="29" spans="1:19" s="4" customFormat="1" x14ac:dyDescent="0.25">
      <c r="A29" t="s">
        <v>70</v>
      </c>
      <c r="B29">
        <v>2025</v>
      </c>
      <c r="C29">
        <v>1898.45</v>
      </c>
      <c r="D29">
        <v>7.2833029003416148E-3</v>
      </c>
      <c r="E29"/>
      <c r="F29"/>
      <c r="G29">
        <v>0</v>
      </c>
      <c r="H29" s="4" t="s">
        <v>58</v>
      </c>
      <c r="I29">
        <v>0</v>
      </c>
      <c r="J29">
        <v>1</v>
      </c>
      <c r="K29">
        <v>7</v>
      </c>
      <c r="L29">
        <v>73.392939463140479</v>
      </c>
      <c r="M29">
        <v>1.5641999376169682E-2</v>
      </c>
      <c r="N29"/>
      <c r="O29">
        <v>0.14285714285714285</v>
      </c>
      <c r="P29">
        <v>-0.73333333333333328</v>
      </c>
      <c r="Q29" s="4">
        <f>(K29/J29)</f>
        <v>7</v>
      </c>
      <c r="R29">
        <v>-4.4456089150887633E-2</v>
      </c>
      <c r="S29">
        <v>0</v>
      </c>
    </row>
    <row r="30" spans="1:19" s="4" customFormat="1" x14ac:dyDescent="0.25">
      <c r="A30" t="s">
        <v>7</v>
      </c>
      <c r="B30">
        <v>2022</v>
      </c>
      <c r="C30">
        <v>1777.41</v>
      </c>
      <c r="D30">
        <v>1.5871290769608335E-2</v>
      </c>
      <c r="E30"/>
      <c r="F30">
        <v>1.9483430853890784E-2</v>
      </c>
      <c r="G30">
        <v>1</v>
      </c>
      <c r="H30" s="4" t="s">
        <v>44</v>
      </c>
      <c r="I30">
        <v>0</v>
      </c>
      <c r="J30">
        <v>3</v>
      </c>
      <c r="K30">
        <v>34</v>
      </c>
      <c r="L30">
        <v>210.05812705111862</v>
      </c>
      <c r="M30">
        <v>4.2247731081807544E-2</v>
      </c>
      <c r="N30" s="4">
        <v>0</v>
      </c>
      <c r="O30">
        <v>8.8235294117647065E-2</v>
      </c>
      <c r="P30">
        <v>2</v>
      </c>
      <c r="Q30" s="4">
        <f>(K30/J30)</f>
        <v>11.333333333333334</v>
      </c>
      <c r="R30">
        <v>5.0083624587999226E-2</v>
      </c>
      <c r="S30">
        <v>3.8571428571428572</v>
      </c>
    </row>
    <row r="31" spans="1:19" s="4" customFormat="1" x14ac:dyDescent="0.25">
      <c r="A31" t="s">
        <v>7</v>
      </c>
      <c r="B31">
        <v>2023</v>
      </c>
      <c r="C31">
        <v>1777.41</v>
      </c>
      <c r="D31">
        <v>1.9483430853890784E-2</v>
      </c>
      <c r="E31"/>
      <c r="F31">
        <v>1.9345372977936967E-2</v>
      </c>
      <c r="G31">
        <v>1</v>
      </c>
      <c r="H31" s="4" t="s">
        <v>105</v>
      </c>
      <c r="I31">
        <v>0</v>
      </c>
      <c r="J31">
        <v>182</v>
      </c>
      <c r="K31">
        <v>19</v>
      </c>
      <c r="L31">
        <v>292.24714545854761</v>
      </c>
      <c r="M31">
        <v>5.1940186592452663E-2</v>
      </c>
      <c r="N31" s="4">
        <v>0</v>
      </c>
      <c r="O31">
        <v>9.5789473684210531</v>
      </c>
      <c r="P31">
        <v>59.666666666666664</v>
      </c>
      <c r="Q31" s="4">
        <f>(K31/J31)</f>
        <v>0.1043956043956044</v>
      </c>
      <c r="R31">
        <v>0.22758956008790882</v>
      </c>
      <c r="S31">
        <v>-0.44117647058823528</v>
      </c>
    </row>
    <row r="32" spans="1:19" s="4" customFormat="1" x14ac:dyDescent="0.25">
      <c r="A32" t="s">
        <v>7</v>
      </c>
      <c r="B32">
        <v>2024</v>
      </c>
      <c r="C32">
        <v>1777.41</v>
      </c>
      <c r="D32">
        <v>1.9345372977936967E-2</v>
      </c>
      <c r="E32"/>
      <c r="F32">
        <v>2.0063745774838691E-2</v>
      </c>
      <c r="G32">
        <v>1</v>
      </c>
      <c r="H32" s="4" t="s">
        <v>105</v>
      </c>
      <c r="I32">
        <v>0</v>
      </c>
      <c r="J32">
        <v>361</v>
      </c>
      <c r="K32">
        <v>33</v>
      </c>
      <c r="L32">
        <v>323.4874715557354</v>
      </c>
      <c r="M32">
        <v>5.3315400134498994E-2</v>
      </c>
      <c r="N32" s="4">
        <v>0</v>
      </c>
      <c r="O32">
        <v>10.939393939393939</v>
      </c>
      <c r="P32">
        <v>0.98351648351648346</v>
      </c>
      <c r="Q32" s="4">
        <f>(K32/J32)</f>
        <v>9.141274238227147E-2</v>
      </c>
      <c r="R32">
        <v>-7.0859119725439493E-3</v>
      </c>
      <c r="S32">
        <v>0.73684210526315785</v>
      </c>
    </row>
    <row r="33" spans="1:19" s="4" customFormat="1" x14ac:dyDescent="0.25">
      <c r="A33" t="s">
        <v>7</v>
      </c>
      <c r="B33">
        <v>2025</v>
      </c>
      <c r="C33">
        <v>1777.41</v>
      </c>
      <c r="D33">
        <v>2.0063745774838691E-2</v>
      </c>
      <c r="E33"/>
      <c r="F33"/>
      <c r="G33">
        <v>1</v>
      </c>
      <c r="H33" s="4" t="s">
        <v>101</v>
      </c>
      <c r="I33">
        <v>1</v>
      </c>
      <c r="J33">
        <v>540</v>
      </c>
      <c r="K33">
        <v>33</v>
      </c>
      <c r="L33">
        <v>384.30990890169051</v>
      </c>
      <c r="M33">
        <v>5.198730717561495E-2</v>
      </c>
      <c r="N33"/>
      <c r="O33">
        <v>16.363636363636363</v>
      </c>
      <c r="P33">
        <v>0.49584487534626037</v>
      </c>
      <c r="Q33" s="4">
        <f>(K33/J33)</f>
        <v>6.1111111111111109E-2</v>
      </c>
      <c r="R33">
        <v>3.7134088741582506E-2</v>
      </c>
      <c r="S33">
        <v>0</v>
      </c>
    </row>
    <row r="34" spans="1:19" x14ac:dyDescent="0.25">
      <c r="A34" t="s">
        <v>9</v>
      </c>
      <c r="B34">
        <v>2022</v>
      </c>
      <c r="C34">
        <v>1867.28</v>
      </c>
      <c r="D34">
        <v>1.802906750360489E-2</v>
      </c>
      <c r="F34">
        <v>1.6467488615480856E-2</v>
      </c>
      <c r="G34">
        <v>1</v>
      </c>
      <c r="H34" s="4" t="s">
        <v>101</v>
      </c>
      <c r="I34">
        <v>1</v>
      </c>
      <c r="J34">
        <v>29</v>
      </c>
      <c r="K34">
        <v>4</v>
      </c>
      <c r="L34">
        <v>327.7930216290722</v>
      </c>
      <c r="M34">
        <v>4.0105280473762134E-2</v>
      </c>
      <c r="N34" s="4">
        <v>0</v>
      </c>
      <c r="O34">
        <v>7.25</v>
      </c>
      <c r="P34">
        <v>0.38095238095238093</v>
      </c>
      <c r="Q34" s="4">
        <f>(K34/J34)</f>
        <v>0.13793103448275862</v>
      </c>
      <c r="R34">
        <v>-8.5574542922080707E-2</v>
      </c>
      <c r="S34">
        <v>5.2631578947368474E-2</v>
      </c>
    </row>
    <row r="35" spans="1:19" x14ac:dyDescent="0.25">
      <c r="A35" t="s">
        <v>9</v>
      </c>
      <c r="B35">
        <v>2023</v>
      </c>
      <c r="C35">
        <v>1867.28</v>
      </c>
      <c r="D35">
        <v>1.6467488615480856E-2</v>
      </c>
      <c r="F35">
        <v>1.8625175272879334E-2</v>
      </c>
      <c r="G35">
        <v>1</v>
      </c>
      <c r="H35" s="4" t="s">
        <v>19</v>
      </c>
      <c r="I35">
        <v>0</v>
      </c>
      <c r="J35">
        <v>89</v>
      </c>
      <c r="K35" s="4">
        <v>39</v>
      </c>
      <c r="L35">
        <v>360.98226438345387</v>
      </c>
      <c r="M35">
        <v>3.5722112645189569E-2</v>
      </c>
      <c r="N35" s="4">
        <v>0</v>
      </c>
      <c r="O35">
        <v>2.2820512820512819</v>
      </c>
      <c r="P35">
        <v>2.0689655172413794</v>
      </c>
      <c r="Q35" s="4">
        <f>(K35/J35)</f>
        <v>0.43820224719101125</v>
      </c>
      <c r="R35">
        <v>-8.6614512248722672E-2</v>
      </c>
      <c r="S35">
        <v>8.75</v>
      </c>
    </row>
    <row r="36" spans="1:19" x14ac:dyDescent="0.25">
      <c r="A36" t="s">
        <v>9</v>
      </c>
      <c r="B36">
        <v>2024</v>
      </c>
      <c r="C36">
        <v>1867.28</v>
      </c>
      <c r="D36">
        <v>1.8625175272879334E-2</v>
      </c>
      <c r="F36">
        <v>2.0185583436731751E-2</v>
      </c>
      <c r="G36">
        <v>1</v>
      </c>
      <c r="H36" s="4" t="s">
        <v>19</v>
      </c>
      <c r="I36">
        <v>0</v>
      </c>
      <c r="J36">
        <v>90</v>
      </c>
      <c r="K36">
        <v>53</v>
      </c>
      <c r="L36">
        <v>444.99544611611537</v>
      </c>
      <c r="M36">
        <v>3.8933229511387973E-2</v>
      </c>
      <c r="N36" s="4">
        <v>0</v>
      </c>
      <c r="O36">
        <v>1.6981132075471699</v>
      </c>
      <c r="P36">
        <v>1.1235955056179775E-2</v>
      </c>
      <c r="Q36" s="4">
        <f>(K36/J36)</f>
        <v>0.58888888888888891</v>
      </c>
      <c r="R36">
        <v>0.13102706233967379</v>
      </c>
      <c r="S36">
        <v>0.35897435897435898</v>
      </c>
    </row>
    <row r="37" spans="1:19" x14ac:dyDescent="0.25">
      <c r="A37" t="s">
        <v>9</v>
      </c>
      <c r="B37">
        <v>2025</v>
      </c>
      <c r="C37">
        <v>1867.28</v>
      </c>
      <c r="D37">
        <v>2.0185583436731751E-2</v>
      </c>
      <c r="G37">
        <v>1</v>
      </c>
      <c r="H37" s="4" t="s">
        <v>19</v>
      </c>
      <c r="I37">
        <v>0</v>
      </c>
      <c r="J37">
        <v>141</v>
      </c>
      <c r="K37">
        <v>53</v>
      </c>
      <c r="L37">
        <v>544.27511619333075</v>
      </c>
      <c r="M37">
        <v>4.1425776038423907E-2</v>
      </c>
      <c r="O37">
        <v>2.6603773584905661</v>
      </c>
      <c r="P37">
        <v>0.56666666666666665</v>
      </c>
      <c r="Q37" s="4">
        <f>(K37/J37)</f>
        <v>0.37588652482269502</v>
      </c>
      <c r="R37">
        <v>8.3779515681904657E-2</v>
      </c>
      <c r="S37">
        <v>0</v>
      </c>
    </row>
    <row r="38" spans="1:19" x14ac:dyDescent="0.25">
      <c r="A38" t="s">
        <v>68</v>
      </c>
      <c r="B38">
        <v>2022</v>
      </c>
      <c r="C38">
        <v>2309.9699999999998</v>
      </c>
      <c r="D38">
        <v>1.7078535525866932E-2</v>
      </c>
      <c r="F38">
        <v>1.5946777898499513E-2</v>
      </c>
      <c r="G38">
        <v>0</v>
      </c>
      <c r="H38" s="4" t="s">
        <v>105</v>
      </c>
      <c r="I38">
        <v>0</v>
      </c>
      <c r="J38">
        <v>10</v>
      </c>
      <c r="K38">
        <v>39.78</v>
      </c>
      <c r="L38">
        <v>402.00961620821641</v>
      </c>
      <c r="M38">
        <v>4.5367383512544802E-2</v>
      </c>
      <c r="N38" s="4">
        <v>0</v>
      </c>
      <c r="O38">
        <v>0.25138260432378079</v>
      </c>
      <c r="P38">
        <v>-0.16666666666666666</v>
      </c>
      <c r="Q38" s="4">
        <f>(K38/J38)</f>
        <v>3.9780000000000002</v>
      </c>
      <c r="R38">
        <v>-4.2726481655028972E-2</v>
      </c>
      <c r="S38">
        <v>5.5611729019211034E-3</v>
      </c>
    </row>
    <row r="39" spans="1:19" x14ac:dyDescent="0.25">
      <c r="A39" s="4" t="s">
        <v>68</v>
      </c>
      <c r="B39" s="4">
        <v>2023</v>
      </c>
      <c r="C39" s="4">
        <v>2309.9699999999998</v>
      </c>
      <c r="D39" s="4">
        <v>1.5946777898499513E-2</v>
      </c>
      <c r="E39" s="4"/>
      <c r="F39" s="4">
        <v>1.5846917511387421E-2</v>
      </c>
      <c r="G39" s="4">
        <v>0</v>
      </c>
      <c r="H39" s="4" t="s">
        <v>19</v>
      </c>
      <c r="I39" s="4">
        <v>0</v>
      </c>
      <c r="J39" s="4">
        <v>8</v>
      </c>
      <c r="K39" s="4">
        <v>40</v>
      </c>
      <c r="L39">
        <v>417.66120884401687</v>
      </c>
      <c r="M39">
        <v>3.9341394782873226E-2</v>
      </c>
      <c r="N39" s="4">
        <v>0</v>
      </c>
      <c r="O39" s="4">
        <v>0.2</v>
      </c>
      <c r="P39">
        <v>-0.2</v>
      </c>
      <c r="Q39" s="4">
        <f>(K39/J39)</f>
        <v>5</v>
      </c>
      <c r="R39">
        <v>-6.6267838109027172E-2</v>
      </c>
      <c r="S39">
        <v>5.5304172951231492E-3</v>
      </c>
    </row>
    <row r="40" spans="1:19" x14ac:dyDescent="0.25">
      <c r="A40" s="4" t="s">
        <v>68</v>
      </c>
      <c r="B40" s="4">
        <v>2024</v>
      </c>
      <c r="C40" s="4">
        <v>2309.9699999999998</v>
      </c>
      <c r="D40" s="4">
        <v>1.5846917511387421E-2</v>
      </c>
      <c r="E40" s="4"/>
      <c r="F40" s="4">
        <v>1.605310961570736E-2</v>
      </c>
      <c r="G40" s="4">
        <v>0</v>
      </c>
      <c r="H40" s="4" t="s">
        <v>106</v>
      </c>
      <c r="I40" s="4">
        <v>0</v>
      </c>
      <c r="J40" s="4">
        <v>120</v>
      </c>
      <c r="K40">
        <v>40</v>
      </c>
      <c r="L40">
        <v>440.89807806175583</v>
      </c>
      <c r="M40">
        <v>4.105812220566319E-2</v>
      </c>
      <c r="N40" s="4">
        <v>0</v>
      </c>
      <c r="O40" s="4">
        <v>3</v>
      </c>
      <c r="P40">
        <v>14</v>
      </c>
      <c r="Q40" s="4">
        <f>(K40/J40)</f>
        <v>0.33333333333333331</v>
      </c>
      <c r="R40">
        <v>-6.2621043415603608E-3</v>
      </c>
      <c r="S40">
        <v>0</v>
      </c>
    </row>
    <row r="41" spans="1:19" x14ac:dyDescent="0.25">
      <c r="A41" s="4" t="s">
        <v>68</v>
      </c>
      <c r="B41" s="4">
        <v>2025</v>
      </c>
      <c r="C41" s="4">
        <v>2309.9699999999998</v>
      </c>
      <c r="D41" s="4">
        <v>1.605310961570736E-2</v>
      </c>
      <c r="E41" s="4"/>
      <c r="F41" s="4"/>
      <c r="G41" s="4">
        <v>0</v>
      </c>
      <c r="H41" s="4" t="s">
        <v>21</v>
      </c>
      <c r="I41" s="4">
        <v>0</v>
      </c>
      <c r="J41" s="4">
        <v>28</v>
      </c>
      <c r="K41">
        <v>40</v>
      </c>
      <c r="L41">
        <v>486.04043256277851</v>
      </c>
      <c r="M41">
        <v>4.0395713107996702E-2</v>
      </c>
      <c r="N41" s="4"/>
      <c r="O41" s="4">
        <v>0.7</v>
      </c>
      <c r="P41">
        <v>-0.76666666666666672</v>
      </c>
      <c r="Q41" s="4">
        <f>(K41/J41)</f>
        <v>1.4285714285714286</v>
      </c>
      <c r="R41">
        <v>1.3011496032068798E-2</v>
      </c>
      <c r="S41">
        <v>0</v>
      </c>
    </row>
    <row r="42" spans="1:19" x14ac:dyDescent="0.25">
      <c r="A42" s="4" t="s">
        <v>11</v>
      </c>
      <c r="B42" s="4">
        <v>2022</v>
      </c>
      <c r="C42" s="4">
        <v>1667.65</v>
      </c>
      <c r="D42" s="4">
        <v>1.2880659393532251E-2</v>
      </c>
      <c r="E42" s="4"/>
      <c r="F42" s="4">
        <v>1.3146284003652906E-2</v>
      </c>
      <c r="G42" s="4">
        <v>1</v>
      </c>
      <c r="H42" s="4" t="s">
        <v>106</v>
      </c>
      <c r="I42" s="4">
        <v>0</v>
      </c>
      <c r="J42" s="4">
        <v>69</v>
      </c>
      <c r="K42">
        <v>168</v>
      </c>
      <c r="L42">
        <v>369.61235014499573</v>
      </c>
      <c r="M42">
        <v>2.99627210652708E-2</v>
      </c>
      <c r="N42" s="4">
        <v>0</v>
      </c>
      <c r="O42" s="4">
        <v>0.4107142857142857</v>
      </c>
      <c r="P42">
        <v>1.15625</v>
      </c>
      <c r="Q42" s="4">
        <f>(K42/J42)</f>
        <v>2.4347826086956523</v>
      </c>
      <c r="R42">
        <v>-4.351050465188807E-2</v>
      </c>
      <c r="S42">
        <v>27</v>
      </c>
    </row>
    <row r="43" spans="1:19" x14ac:dyDescent="0.25">
      <c r="A43" s="4" t="s">
        <v>11</v>
      </c>
      <c r="B43" s="4">
        <v>2023</v>
      </c>
      <c r="C43" s="4">
        <v>1667.65</v>
      </c>
      <c r="D43" s="4">
        <v>1.3146284003652906E-2</v>
      </c>
      <c r="E43" s="4"/>
      <c r="F43" s="4">
        <v>1.8763857460166473E-2</v>
      </c>
      <c r="G43" s="4">
        <v>1</v>
      </c>
      <c r="H43" s="4" t="s">
        <v>101</v>
      </c>
      <c r="I43" s="4">
        <v>1</v>
      </c>
      <c r="J43" s="4">
        <v>148</v>
      </c>
      <c r="K43" s="4">
        <v>113</v>
      </c>
      <c r="L43">
        <v>418.94150440609206</v>
      </c>
      <c r="M43">
        <v>3.0090439257181873E-2</v>
      </c>
      <c r="N43" s="4">
        <v>1</v>
      </c>
      <c r="O43" s="4">
        <v>1.3097345132743363</v>
      </c>
      <c r="P43">
        <v>1.144927536231884</v>
      </c>
      <c r="Q43" s="4">
        <f>(K43/J43)</f>
        <v>0.76351351351351349</v>
      </c>
      <c r="R43">
        <v>2.0621972991074676E-2</v>
      </c>
      <c r="S43">
        <v>-0.32738095238095238</v>
      </c>
    </row>
    <row r="44" spans="1:19" x14ac:dyDescent="0.25">
      <c r="A44" s="4" t="s">
        <v>11</v>
      </c>
      <c r="B44" s="4">
        <v>2024</v>
      </c>
      <c r="C44" s="4">
        <v>1667.65</v>
      </c>
      <c r="D44" s="4">
        <v>1.8763857460166473E-2</v>
      </c>
      <c r="E44" s="4"/>
      <c r="F44" s="4">
        <v>1.8356469694020789E-2</v>
      </c>
      <c r="G44" s="4">
        <v>1</v>
      </c>
      <c r="H44" s="4" t="s">
        <v>101</v>
      </c>
      <c r="I44" s="4">
        <v>1</v>
      </c>
      <c r="J44" s="4">
        <v>58</v>
      </c>
      <c r="K44">
        <v>189</v>
      </c>
      <c r="L44">
        <v>603.40685786425422</v>
      </c>
      <c r="M44">
        <v>4.3890613863570717E-2</v>
      </c>
      <c r="N44" s="4">
        <v>1</v>
      </c>
      <c r="O44" s="4">
        <v>0.30687830687830686</v>
      </c>
      <c r="P44">
        <v>-0.60810810810810811</v>
      </c>
      <c r="Q44" s="4">
        <f>(K44/J44)</f>
        <v>3.2586206896551726</v>
      </c>
      <c r="R44">
        <v>0.42731265009584718</v>
      </c>
      <c r="S44">
        <v>0.67256637168141598</v>
      </c>
    </row>
    <row r="45" spans="1:19" x14ac:dyDescent="0.25">
      <c r="A45" s="4" t="s">
        <v>11</v>
      </c>
      <c r="B45" s="4">
        <v>2025</v>
      </c>
      <c r="C45" s="4">
        <v>1667.65</v>
      </c>
      <c r="D45" s="4">
        <v>1.8356469694020789E-2</v>
      </c>
      <c r="E45" s="4"/>
      <c r="F45" s="4"/>
      <c r="G45" s="4">
        <v>1</v>
      </c>
      <c r="H45" s="4" t="s">
        <v>21</v>
      </c>
      <c r="I45" s="4">
        <v>0</v>
      </c>
      <c r="J45" s="4">
        <v>19</v>
      </c>
      <c r="K45">
        <v>137</v>
      </c>
      <c r="L45">
        <v>660.24090388718514</v>
      </c>
      <c r="M45">
        <v>4.2315500225699118E-2</v>
      </c>
      <c r="N45" s="4"/>
      <c r="O45" s="4">
        <v>0.13868613138686131</v>
      </c>
      <c r="P45">
        <v>-0.67241379310344829</v>
      </c>
      <c r="Q45" s="4">
        <f>(K45/J45)</f>
        <v>7.2105263157894735</v>
      </c>
      <c r="R45">
        <v>-2.1711301474684586E-2</v>
      </c>
      <c r="S45">
        <v>-0.27513227513227512</v>
      </c>
    </row>
    <row r="46" spans="1:19" x14ac:dyDescent="0.25">
      <c r="A46" s="4" t="s">
        <v>13</v>
      </c>
      <c r="B46" s="4">
        <v>2022</v>
      </c>
      <c r="C46" s="4">
        <v>1560.42</v>
      </c>
      <c r="D46" s="4">
        <v>1.3677962735186991E-2</v>
      </c>
      <c r="E46" s="4">
        <v>0.09</v>
      </c>
      <c r="F46" s="4">
        <v>2.0122457124644798E-2</v>
      </c>
      <c r="G46" s="4">
        <v>1</v>
      </c>
      <c r="H46" s="4" t="s">
        <v>101</v>
      </c>
      <c r="I46" s="4">
        <v>1</v>
      </c>
      <c r="J46" s="4">
        <v>214</v>
      </c>
      <c r="K46">
        <v>83</v>
      </c>
      <c r="L46">
        <v>931.27312190450573</v>
      </c>
      <c r="M46">
        <v>3.0335431887845224E-2</v>
      </c>
      <c r="N46" s="4">
        <v>0</v>
      </c>
      <c r="O46" s="4">
        <v>2.5783132530120483</v>
      </c>
      <c r="P46">
        <v>-0.18939393939393939</v>
      </c>
      <c r="Q46" s="4">
        <f>(K46/J46)</f>
        <v>0.38785046728971961</v>
      </c>
      <c r="R46">
        <v>5.3146833631025077E-2</v>
      </c>
      <c r="S46">
        <v>1.8620689655172413</v>
      </c>
    </row>
    <row r="47" spans="1:19" x14ac:dyDescent="0.25">
      <c r="A47" s="4" t="s">
        <v>13</v>
      </c>
      <c r="B47" s="4">
        <v>2023</v>
      </c>
      <c r="C47" s="4">
        <v>1560.42</v>
      </c>
      <c r="D47" s="4">
        <v>2.0122457124644798E-2</v>
      </c>
      <c r="E47" s="4">
        <v>7.0000000000000007E-2</v>
      </c>
      <c r="F47" s="4">
        <v>2.2686290435902711E-2</v>
      </c>
      <c r="G47" s="4">
        <v>1</v>
      </c>
      <c r="H47" s="4" t="s">
        <v>101</v>
      </c>
      <c r="I47" s="4">
        <v>1</v>
      </c>
      <c r="J47" s="4">
        <v>280</v>
      </c>
      <c r="K47" s="4">
        <v>46</v>
      </c>
      <c r="L47">
        <v>1372.5096585963449</v>
      </c>
      <c r="M47">
        <v>4.2454072412571854E-2</v>
      </c>
      <c r="N47" s="4">
        <v>0</v>
      </c>
      <c r="O47" s="4">
        <v>6.0869565217391308</v>
      </c>
      <c r="P47">
        <v>0.30841121495327101</v>
      </c>
      <c r="Q47" s="4">
        <f>(K47/J47)</f>
        <v>0.16428571428571428</v>
      </c>
      <c r="R47">
        <v>0.47115893749872129</v>
      </c>
      <c r="S47">
        <v>-0.44578313253012047</v>
      </c>
    </row>
    <row r="48" spans="1:19" x14ac:dyDescent="0.25">
      <c r="A48" s="4" t="s">
        <v>13</v>
      </c>
      <c r="B48" s="4">
        <v>2024</v>
      </c>
      <c r="C48" s="4">
        <v>1560.42</v>
      </c>
      <c r="D48" s="4">
        <v>2.2686290435902711E-2</v>
      </c>
      <c r="E48" s="4">
        <v>0.06</v>
      </c>
      <c r="F48" s="4">
        <v>3.2528520512050407E-2</v>
      </c>
      <c r="G48" s="4">
        <v>1</v>
      </c>
      <c r="H48" s="4" t="s">
        <v>101</v>
      </c>
      <c r="I48" s="4">
        <v>1</v>
      </c>
      <c r="J48" s="4">
        <v>440</v>
      </c>
      <c r="K48">
        <v>189</v>
      </c>
      <c r="L48">
        <v>1615.9141584852496</v>
      </c>
      <c r="M48">
        <v>4.7932720939885584E-2</v>
      </c>
      <c r="N48" s="4">
        <v>0</v>
      </c>
      <c r="O48" s="4">
        <v>2.3280423280423279</v>
      </c>
      <c r="P48">
        <v>0.5714285714285714</v>
      </c>
      <c r="Q48" s="4">
        <f>(K48/J48)</f>
        <v>0.42954545454545456</v>
      </c>
      <c r="R48">
        <v>0.12741154300276189</v>
      </c>
      <c r="S48">
        <v>3.1086956521739131</v>
      </c>
    </row>
    <row r="49" spans="1:19" x14ac:dyDescent="0.25">
      <c r="A49" s="4" t="s">
        <v>13</v>
      </c>
      <c r="B49" s="4">
        <v>2025</v>
      </c>
      <c r="C49" s="4">
        <v>1560.42</v>
      </c>
      <c r="D49" s="4">
        <v>3.2528520512050407E-2</v>
      </c>
      <c r="E49" s="4">
        <v>0.13</v>
      </c>
      <c r="F49" s="4"/>
      <c r="G49" s="4">
        <v>1</v>
      </c>
      <c r="H49" s="4" t="s">
        <v>101</v>
      </c>
      <c r="I49" s="4">
        <v>1</v>
      </c>
      <c r="J49" s="4">
        <v>278</v>
      </c>
      <c r="K49">
        <v>165</v>
      </c>
      <c r="L49">
        <v>2495.2407469458171</v>
      </c>
      <c r="M49">
        <v>6.6428937492989365E-2</v>
      </c>
      <c r="N49" s="4"/>
      <c r="O49" s="4">
        <v>1.6848484848484848</v>
      </c>
      <c r="P49">
        <v>-0.36818181818181817</v>
      </c>
      <c r="Q49" s="4">
        <f>(K49/J49)</f>
        <v>0.59352517985611508</v>
      </c>
      <c r="R49">
        <v>0.43384043345278028</v>
      </c>
      <c r="S49">
        <v>-0.12698412698412698</v>
      </c>
    </row>
    <row r="50" spans="1:19" x14ac:dyDescent="0.25">
      <c r="A50" s="4" t="s">
        <v>15</v>
      </c>
      <c r="B50" s="4">
        <v>2022</v>
      </c>
      <c r="C50" s="4">
        <v>866.96</v>
      </c>
      <c r="D50" s="4">
        <v>2.1431959374882244E-2</v>
      </c>
      <c r="E50" s="4"/>
      <c r="F50" s="4">
        <v>2.9827852332715003E-2</v>
      </c>
      <c r="G50" s="4">
        <v>1</v>
      </c>
      <c r="H50" s="4" t="s">
        <v>100</v>
      </c>
      <c r="I50" s="4">
        <v>0</v>
      </c>
      <c r="J50" s="4">
        <v>15</v>
      </c>
      <c r="K50" s="4">
        <v>9</v>
      </c>
      <c r="L50" s="4">
        <v>614.59969412762939</v>
      </c>
      <c r="M50">
        <v>5.3415722622725717E-2</v>
      </c>
      <c r="N50" s="4">
        <v>0</v>
      </c>
      <c r="O50" s="4">
        <v>1.6666666666666667</v>
      </c>
      <c r="P50">
        <v>-0.25</v>
      </c>
      <c r="Q50" s="4">
        <f>(K50/J50)</f>
        <v>0.6</v>
      </c>
      <c r="R50">
        <v>6.4938577170472356E-2</v>
      </c>
      <c r="S50">
        <v>0.14503816793893126</v>
      </c>
    </row>
    <row r="51" spans="1:19" x14ac:dyDescent="0.25">
      <c r="A51" s="4" t="s">
        <v>15</v>
      </c>
      <c r="B51" s="4">
        <v>2023</v>
      </c>
      <c r="C51" s="4">
        <v>866.96</v>
      </c>
      <c r="D51" s="4">
        <v>2.9827852332715003E-2</v>
      </c>
      <c r="E51" s="4"/>
      <c r="F51" s="4">
        <v>3.3025708930498429E-2</v>
      </c>
      <c r="G51" s="4">
        <v>1</v>
      </c>
      <c r="H51" s="4" t="s">
        <v>100</v>
      </c>
      <c r="I51" s="4">
        <v>0</v>
      </c>
      <c r="J51" s="4">
        <v>23</v>
      </c>
      <c r="K51" s="4">
        <v>13</v>
      </c>
      <c r="L51" s="4">
        <v>904.7703861886157</v>
      </c>
      <c r="M51">
        <v>6.8581020322522626E-2</v>
      </c>
      <c r="N51" s="4">
        <v>0</v>
      </c>
      <c r="O51" s="4">
        <v>1.7692307692307692</v>
      </c>
      <c r="P51">
        <v>0.53333333333333333</v>
      </c>
      <c r="Q51" s="4">
        <f>(K51/J51)</f>
        <v>0.56521739130434778</v>
      </c>
      <c r="R51">
        <v>0.39174640129602661</v>
      </c>
      <c r="S51">
        <v>0.44444444444444442</v>
      </c>
    </row>
    <row r="52" spans="1:19" x14ac:dyDescent="0.25">
      <c r="A52" t="s">
        <v>15</v>
      </c>
      <c r="B52">
        <v>2024</v>
      </c>
      <c r="C52">
        <v>866.96</v>
      </c>
      <c r="D52">
        <v>3.3025708930498429E-2</v>
      </c>
      <c r="F52">
        <v>3.3744178007927589E-2</v>
      </c>
      <c r="G52">
        <v>1</v>
      </c>
      <c r="H52" s="4" t="s">
        <v>106</v>
      </c>
      <c r="I52">
        <v>0</v>
      </c>
      <c r="J52">
        <v>115</v>
      </c>
      <c r="K52">
        <v>2</v>
      </c>
      <c r="L52">
        <v>1041.8268061571393</v>
      </c>
      <c r="M52">
        <v>7.5719217491369395E-2</v>
      </c>
      <c r="N52" s="4">
        <v>0</v>
      </c>
      <c r="O52">
        <v>57.5</v>
      </c>
      <c r="P52">
        <v>4</v>
      </c>
      <c r="Q52" s="4">
        <f>(K52/J52)</f>
        <v>1.7391304347826087E-2</v>
      </c>
      <c r="R52">
        <v>0.10721042072063755</v>
      </c>
      <c r="S52">
        <v>-0.84615384615384615</v>
      </c>
    </row>
    <row r="53" spans="1:19" x14ac:dyDescent="0.25">
      <c r="A53" t="s">
        <v>15</v>
      </c>
      <c r="B53">
        <v>2025</v>
      </c>
      <c r="C53">
        <v>866.96</v>
      </c>
      <c r="D53">
        <v>3.3744178007927589E-2</v>
      </c>
      <c r="G53">
        <v>1</v>
      </c>
      <c r="H53" s="4" t="s">
        <v>101</v>
      </c>
      <c r="I53">
        <v>1</v>
      </c>
      <c r="J53">
        <v>204</v>
      </c>
      <c r="K53">
        <v>2</v>
      </c>
      <c r="L53">
        <v>1164.0230510934543</v>
      </c>
      <c r="M53">
        <v>7.5374986511276582E-2</v>
      </c>
      <c r="O53">
        <v>102</v>
      </c>
      <c r="P53">
        <v>0.77391304347826084</v>
      </c>
      <c r="Q53" s="4">
        <f>(K53/J53)</f>
        <v>9.8039215686274508E-3</v>
      </c>
      <c r="R53">
        <v>2.1754841930604892E-2</v>
      </c>
      <c r="S53">
        <v>0</v>
      </c>
    </row>
    <row r="54" spans="1:19" x14ac:dyDescent="0.25">
      <c r="A54" t="s">
        <v>17</v>
      </c>
      <c r="B54">
        <v>2022</v>
      </c>
      <c r="C54">
        <v>892.29</v>
      </c>
      <c r="D54">
        <v>1.5896067785146635E-2</v>
      </c>
      <c r="E54">
        <v>0.23</v>
      </c>
      <c r="F54">
        <v>2.008945640063332E-2</v>
      </c>
      <c r="G54">
        <v>0</v>
      </c>
      <c r="H54" s="4" t="s">
        <v>100</v>
      </c>
      <c r="I54">
        <v>0</v>
      </c>
      <c r="J54">
        <v>12</v>
      </c>
      <c r="K54">
        <v>42</v>
      </c>
      <c r="L54">
        <v>802.93883691310293</v>
      </c>
      <c r="M54">
        <v>3.0199521718956346E-2</v>
      </c>
      <c r="N54" s="4">
        <v>0</v>
      </c>
      <c r="O54">
        <v>0.2857142857142857</v>
      </c>
      <c r="P54">
        <v>-0.4</v>
      </c>
      <c r="Q54" s="4">
        <f>(K54/J54)</f>
        <v>3.5</v>
      </c>
      <c r="R54">
        <v>0.22048438472352397</v>
      </c>
      <c r="S54">
        <v>1.3333333333333333</v>
      </c>
    </row>
    <row r="55" spans="1:19" x14ac:dyDescent="0.25">
      <c r="A55" t="s">
        <v>17</v>
      </c>
      <c r="B55">
        <v>2023</v>
      </c>
      <c r="C55">
        <v>892.29</v>
      </c>
      <c r="D55">
        <v>2.008945640063332E-2</v>
      </c>
      <c r="E55">
        <v>0.11</v>
      </c>
      <c r="F55">
        <v>2.1771063512137496E-2</v>
      </c>
      <c r="G55">
        <v>1</v>
      </c>
      <c r="H55" s="4" t="s">
        <v>106</v>
      </c>
      <c r="I55">
        <v>0</v>
      </c>
      <c r="J55">
        <v>37</v>
      </c>
      <c r="K55" s="4">
        <v>51</v>
      </c>
      <c r="L55">
        <v>1060.1940197619633</v>
      </c>
      <c r="M55">
        <v>3.5921725909615176E-2</v>
      </c>
      <c r="N55" s="4">
        <v>0</v>
      </c>
      <c r="O55">
        <v>0.72549019607843135</v>
      </c>
      <c r="P55">
        <v>2.0833333333333335</v>
      </c>
      <c r="Q55" s="4">
        <f>(K55/J55)</f>
        <v>1.3783783783783783</v>
      </c>
      <c r="R55">
        <v>0.26380037328508427</v>
      </c>
      <c r="S55">
        <v>0.21428571428571427</v>
      </c>
    </row>
    <row r="56" spans="1:19" x14ac:dyDescent="0.25">
      <c r="A56" t="s">
        <v>17</v>
      </c>
      <c r="B56">
        <v>2024</v>
      </c>
      <c r="C56">
        <v>892.29</v>
      </c>
      <c r="D56">
        <v>2.1771063512137496E-2</v>
      </c>
      <c r="E56">
        <v>0.08</v>
      </c>
      <c r="F56">
        <v>2.5711701623670272E-2</v>
      </c>
      <c r="G56">
        <v>1</v>
      </c>
      <c r="H56" s="4" t="s">
        <v>106</v>
      </c>
      <c r="I56">
        <v>0</v>
      </c>
      <c r="J56">
        <v>105</v>
      </c>
      <c r="K56">
        <v>20</v>
      </c>
      <c r="L56">
        <v>1158.749025362908</v>
      </c>
      <c r="M56">
        <v>3.7742536938385772E-2</v>
      </c>
      <c r="N56" s="4">
        <v>0</v>
      </c>
      <c r="O56">
        <v>5.25</v>
      </c>
      <c r="P56">
        <v>1.8378378378378379</v>
      </c>
      <c r="Q56" s="4">
        <f>(K56/J56)</f>
        <v>0.19047619047619047</v>
      </c>
      <c r="R56">
        <v>8.3705953907800251E-2</v>
      </c>
      <c r="S56">
        <v>-0.60784313725490191</v>
      </c>
    </row>
    <row r="57" spans="1:19" x14ac:dyDescent="0.25">
      <c r="A57" t="s">
        <v>17</v>
      </c>
      <c r="B57">
        <v>2025</v>
      </c>
      <c r="C57">
        <v>892.29</v>
      </c>
      <c r="D57">
        <v>2.5711701623670272E-2</v>
      </c>
      <c r="E57">
        <v>0.11</v>
      </c>
      <c r="G57">
        <v>1</v>
      </c>
      <c r="H57" s="4" t="s">
        <v>106</v>
      </c>
      <c r="I57">
        <v>0</v>
      </c>
      <c r="J57">
        <v>51</v>
      </c>
      <c r="K57">
        <v>115</v>
      </c>
      <c r="L57">
        <v>1437.3449977374255</v>
      </c>
      <c r="M57">
        <v>4.4110041129965763E-2</v>
      </c>
      <c r="O57">
        <v>0.44347826086956521</v>
      </c>
      <c r="P57">
        <v>-0.51428571428571423</v>
      </c>
      <c r="Q57" s="4">
        <f>(K57/J57)</f>
        <v>2.2549019607843137</v>
      </c>
      <c r="R57">
        <v>0.18100347322655352</v>
      </c>
      <c r="S57">
        <v>4.75</v>
      </c>
    </row>
    <row r="58" spans="1:19" x14ac:dyDescent="0.25">
      <c r="A58" t="s">
        <v>19</v>
      </c>
      <c r="B58">
        <v>2022</v>
      </c>
      <c r="C58">
        <v>2486.25</v>
      </c>
      <c r="D58">
        <v>1.958781267742106E-2</v>
      </c>
      <c r="E58">
        <v>0.92</v>
      </c>
      <c r="F58">
        <v>1.9481758891564126E-2</v>
      </c>
      <c r="G58">
        <v>1</v>
      </c>
      <c r="H58" s="4" t="s">
        <v>60</v>
      </c>
      <c r="I58">
        <v>0</v>
      </c>
      <c r="J58">
        <v>130</v>
      </c>
      <c r="K58">
        <v>3156</v>
      </c>
      <c r="L58">
        <v>827.27867627922683</v>
      </c>
      <c r="M58">
        <v>3.3524214870703548E-2</v>
      </c>
      <c r="N58">
        <v>4.95</v>
      </c>
      <c r="O58">
        <v>4.1191381495564006E-2</v>
      </c>
      <c r="P58">
        <v>0.23809523809523808</v>
      </c>
      <c r="Q58" s="4">
        <f>(K58/J58)</f>
        <v>24.276923076923076</v>
      </c>
      <c r="R58">
        <v>-1.0827567587304902E-2</v>
      </c>
      <c r="S58">
        <v>-0.19159836065573771</v>
      </c>
    </row>
    <row r="59" spans="1:19" x14ac:dyDescent="0.25">
      <c r="A59" t="s">
        <v>19</v>
      </c>
      <c r="B59">
        <v>2023</v>
      </c>
      <c r="C59">
        <v>2486.25</v>
      </c>
      <c r="D59">
        <v>1.9481758891564126E-2</v>
      </c>
      <c r="E59">
        <v>0.59</v>
      </c>
      <c r="F59">
        <v>2.0115758077871092E-2</v>
      </c>
      <c r="G59">
        <v>1</v>
      </c>
      <c r="H59" s="4" t="s">
        <v>60</v>
      </c>
      <c r="I59">
        <v>0</v>
      </c>
      <c r="J59">
        <v>114</v>
      </c>
      <c r="K59" s="4">
        <v>2175</v>
      </c>
      <c r="L59">
        <v>896.95399612130996</v>
      </c>
      <c r="M59">
        <v>3.4234379857009639E-2</v>
      </c>
      <c r="N59">
        <v>4.95</v>
      </c>
      <c r="O59">
        <v>5.2413793103448278E-2</v>
      </c>
      <c r="P59">
        <v>-0.12307692307692308</v>
      </c>
      <c r="Q59" s="4">
        <f>(K59/J59)</f>
        <v>19.078947368421051</v>
      </c>
      <c r="R59">
        <v>-5.4142740490459133E-3</v>
      </c>
      <c r="S59">
        <v>-0.3108365019011407</v>
      </c>
    </row>
    <row r="60" spans="1:19" x14ac:dyDescent="0.25">
      <c r="A60" t="s">
        <v>19</v>
      </c>
      <c r="B60">
        <v>2024</v>
      </c>
      <c r="C60">
        <v>2486.25</v>
      </c>
      <c r="D60">
        <v>2.0115758077871092E-2</v>
      </c>
      <c r="E60">
        <v>0.68</v>
      </c>
      <c r="F60">
        <v>2.0266296920856373E-2</v>
      </c>
      <c r="G60">
        <v>1</v>
      </c>
      <c r="H60" s="4" t="s">
        <v>29</v>
      </c>
      <c r="I60">
        <v>0</v>
      </c>
      <c r="J60">
        <v>183</v>
      </c>
      <c r="K60">
        <v>2472</v>
      </c>
      <c r="L60">
        <v>956.06573625553403</v>
      </c>
      <c r="M60">
        <v>3.5167361699452455E-2</v>
      </c>
      <c r="N60">
        <v>4.95</v>
      </c>
      <c r="O60">
        <v>7.4029126213592228E-2</v>
      </c>
      <c r="P60">
        <v>0.60526315789473684</v>
      </c>
      <c r="Q60" s="4">
        <f>(K60/J60)</f>
        <v>13.508196721311476</v>
      </c>
      <c r="R60">
        <v>3.2543221063140074E-2</v>
      </c>
      <c r="S60">
        <v>0.13655172413793104</v>
      </c>
    </row>
    <row r="61" spans="1:19" x14ac:dyDescent="0.25">
      <c r="A61" t="s">
        <v>19</v>
      </c>
      <c r="B61">
        <v>2025</v>
      </c>
      <c r="C61">
        <v>2486.25</v>
      </c>
      <c r="D61">
        <v>2.0266296920856373E-2</v>
      </c>
      <c r="E61">
        <v>0.86</v>
      </c>
      <c r="G61">
        <v>1</v>
      </c>
      <c r="H61" s="4" t="s">
        <v>29</v>
      </c>
      <c r="I61">
        <v>0</v>
      </c>
      <c r="J61">
        <v>236</v>
      </c>
      <c r="K61">
        <v>3367</v>
      </c>
      <c r="L61">
        <v>1021.1210159631445</v>
      </c>
      <c r="M61">
        <v>3.5339019762206374E-2</v>
      </c>
      <c r="O61">
        <v>7.0092070092070094E-2</v>
      </c>
      <c r="P61">
        <v>0.2896174863387978</v>
      </c>
      <c r="Q61" s="4">
        <f>(K61/J61)</f>
        <v>14.266949152542374</v>
      </c>
      <c r="R61">
        <v>7.4836276317562919E-3</v>
      </c>
      <c r="S61">
        <v>0.36205501618122976</v>
      </c>
    </row>
    <row r="62" spans="1:19" x14ac:dyDescent="0.25">
      <c r="A62" t="s">
        <v>76</v>
      </c>
      <c r="B62">
        <v>2022</v>
      </c>
      <c r="C62">
        <v>1646.21</v>
      </c>
      <c r="D62">
        <v>1.6078768198308134E-2</v>
      </c>
      <c r="F62">
        <v>1.6455916844115983E-2</v>
      </c>
      <c r="G62">
        <v>0</v>
      </c>
      <c r="H62" s="4" t="s">
        <v>101</v>
      </c>
      <c r="I62">
        <v>1</v>
      </c>
      <c r="J62">
        <v>2</v>
      </c>
      <c r="K62">
        <v>7</v>
      </c>
      <c r="L62">
        <v>106.11764794744856</v>
      </c>
      <c r="M62" s="4">
        <v>5.640346653827636E-2</v>
      </c>
      <c r="N62">
        <v>0</v>
      </c>
      <c r="O62">
        <v>0.2857142857142857</v>
      </c>
      <c r="P62">
        <v>-0.39939939939939939</v>
      </c>
      <c r="Q62" s="4">
        <f>(K62/J62)</f>
        <v>3.5</v>
      </c>
      <c r="R62">
        <v>9.7152179213393763E-3</v>
      </c>
      <c r="S62">
        <v>0</v>
      </c>
    </row>
    <row r="63" spans="1:19" x14ac:dyDescent="0.25">
      <c r="A63" t="s">
        <v>76</v>
      </c>
      <c r="B63">
        <v>2023</v>
      </c>
      <c r="C63">
        <v>1646.21</v>
      </c>
      <c r="D63">
        <v>1.6455916844115983E-2</v>
      </c>
      <c r="F63">
        <v>1.5930936120181032E-2</v>
      </c>
      <c r="G63">
        <v>0</v>
      </c>
      <c r="H63" s="4" t="s">
        <v>105</v>
      </c>
      <c r="I63">
        <v>0</v>
      </c>
      <c r="J63">
        <v>0.5</v>
      </c>
      <c r="K63">
        <v>7</v>
      </c>
      <c r="L63">
        <v>133.03323821449254</v>
      </c>
      <c r="M63" s="4">
        <v>5.5439853382205931E-2</v>
      </c>
      <c r="N63">
        <v>0</v>
      </c>
      <c r="O63">
        <v>7.1428571428571425E-2</v>
      </c>
      <c r="P63">
        <v>-0.75</v>
      </c>
      <c r="Q63" s="4">
        <f>(K63/J63)</f>
        <v>14</v>
      </c>
      <c r="R63">
        <v>2.3456314635317266E-2</v>
      </c>
      <c r="S63">
        <v>0</v>
      </c>
    </row>
    <row r="64" spans="1:19" x14ac:dyDescent="0.25">
      <c r="A64" t="s">
        <v>76</v>
      </c>
      <c r="B64">
        <v>2024</v>
      </c>
      <c r="C64">
        <v>1646.21</v>
      </c>
      <c r="D64">
        <v>1.5930936120181032E-2</v>
      </c>
      <c r="F64">
        <v>1.7458281163597659E-2</v>
      </c>
      <c r="G64">
        <v>0</v>
      </c>
      <c r="H64" s="4" t="s">
        <v>58</v>
      </c>
      <c r="I64">
        <v>0</v>
      </c>
      <c r="J64">
        <v>15</v>
      </c>
      <c r="K64">
        <v>7</v>
      </c>
      <c r="L64">
        <v>141.30971015894681</v>
      </c>
      <c r="M64" s="4">
        <v>5.2651488994389296E-2</v>
      </c>
      <c r="N64">
        <v>0</v>
      </c>
      <c r="O64">
        <v>2.1428571428571428</v>
      </c>
      <c r="P64">
        <v>29</v>
      </c>
      <c r="Q64" s="4">
        <f>(K64/J64)</f>
        <v>0.46666666666666667</v>
      </c>
      <c r="R64">
        <v>-3.190224700987504E-2</v>
      </c>
      <c r="S64">
        <v>0</v>
      </c>
    </row>
    <row r="65" spans="1:19" x14ac:dyDescent="0.25">
      <c r="A65" t="s">
        <v>76</v>
      </c>
      <c r="B65">
        <v>2025</v>
      </c>
      <c r="C65">
        <v>1646.21</v>
      </c>
      <c r="D65">
        <v>1.7458281163597659E-2</v>
      </c>
      <c r="G65">
        <v>0</v>
      </c>
      <c r="H65" s="4" t="s">
        <v>105</v>
      </c>
      <c r="I65">
        <v>0</v>
      </c>
      <c r="J65">
        <v>15</v>
      </c>
      <c r="K65">
        <v>7</v>
      </c>
      <c r="L65">
        <v>172.78491247070144</v>
      </c>
      <c r="M65" s="4">
        <v>5.8422284917469279E-2</v>
      </c>
      <c r="O65">
        <v>2.1428571428571428</v>
      </c>
      <c r="P65">
        <v>0</v>
      </c>
      <c r="Q65" s="4">
        <f>(K65/J65)</f>
        <v>0.46666666666666667</v>
      </c>
      <c r="R65">
        <v>9.5872899865677902E-2</v>
      </c>
      <c r="S65">
        <v>0</v>
      </c>
    </row>
    <row r="66" spans="1:19" x14ac:dyDescent="0.25">
      <c r="A66" t="s">
        <v>21</v>
      </c>
      <c r="B66">
        <v>2022</v>
      </c>
      <c r="C66">
        <v>1608.83</v>
      </c>
      <c r="D66">
        <v>1.3360197924996053E-2</v>
      </c>
      <c r="E66">
        <v>1.25</v>
      </c>
      <c r="F66">
        <v>1.5033264680717936E-2</v>
      </c>
      <c r="G66">
        <v>1</v>
      </c>
      <c r="H66" s="4" t="s">
        <v>101</v>
      </c>
      <c r="I66">
        <v>1</v>
      </c>
      <c r="J66">
        <v>269</v>
      </c>
      <c r="K66">
        <v>1508</v>
      </c>
      <c r="L66">
        <v>669.99450452792769</v>
      </c>
      <c r="M66">
        <v>2.7484952619832425E-2</v>
      </c>
      <c r="N66">
        <v>4.95</v>
      </c>
      <c r="O66">
        <v>0.17838196286472149</v>
      </c>
      <c r="P66">
        <v>0.14468085106382977</v>
      </c>
      <c r="Q66" s="4">
        <f>(K66/J66)</f>
        <v>5.6059479553903344</v>
      </c>
      <c r="R66">
        <v>2.9490792092701262E-2</v>
      </c>
      <c r="S66">
        <v>0.7699530516431925</v>
      </c>
    </row>
    <row r="67" spans="1:19" x14ac:dyDescent="0.25">
      <c r="A67" t="s">
        <v>21</v>
      </c>
      <c r="B67">
        <v>2023</v>
      </c>
      <c r="C67">
        <v>1608.83</v>
      </c>
      <c r="D67">
        <v>1.5033264680717936E-2</v>
      </c>
      <c r="E67">
        <v>0.63</v>
      </c>
      <c r="F67">
        <v>1.8385782299253632E-2</v>
      </c>
      <c r="G67">
        <v>1</v>
      </c>
      <c r="H67" s="4" t="s">
        <v>101</v>
      </c>
      <c r="I67">
        <v>1</v>
      </c>
      <c r="J67">
        <v>203</v>
      </c>
      <c r="K67" s="4">
        <v>2547</v>
      </c>
      <c r="L67">
        <v>812.60832736262057</v>
      </c>
      <c r="M67">
        <v>3.1224265826143415E-2</v>
      </c>
      <c r="N67">
        <v>5.95</v>
      </c>
      <c r="O67">
        <v>7.9701609736945428E-2</v>
      </c>
      <c r="P67">
        <v>-0.24535315985130113</v>
      </c>
      <c r="Q67" s="4">
        <f>(K67/J67)</f>
        <v>12.546798029556649</v>
      </c>
      <c r="R67">
        <v>0.12522769236761722</v>
      </c>
      <c r="S67">
        <v>0.68899204244031831</v>
      </c>
    </row>
    <row r="68" spans="1:19" x14ac:dyDescent="0.25">
      <c r="A68" t="s">
        <v>21</v>
      </c>
      <c r="B68">
        <v>2024</v>
      </c>
      <c r="C68">
        <v>1608.83</v>
      </c>
      <c r="D68">
        <v>1.8385782299253632E-2</v>
      </c>
      <c r="E68">
        <v>0.56000000000000005</v>
      </c>
      <c r="F68">
        <v>2.2685109251452271E-2</v>
      </c>
      <c r="G68">
        <v>1</v>
      </c>
      <c r="H68" s="4" t="s">
        <v>101</v>
      </c>
      <c r="I68">
        <v>1</v>
      </c>
      <c r="J68">
        <v>240</v>
      </c>
      <c r="K68">
        <v>2108</v>
      </c>
      <c r="L68">
        <v>1017.1522807932183</v>
      </c>
      <c r="M68">
        <v>3.7197208789760509E-2</v>
      </c>
      <c r="N68">
        <v>4.95</v>
      </c>
      <c r="O68">
        <v>0.11385199240986717</v>
      </c>
      <c r="P68">
        <v>0.18226600985221675</v>
      </c>
      <c r="Q68" s="4">
        <f>(K68/J68)</f>
        <v>8.7833333333333332</v>
      </c>
      <c r="R68">
        <v>0.22300662495723395</v>
      </c>
      <c r="S68">
        <v>-0.17235963879073421</v>
      </c>
    </row>
    <row r="69" spans="1:19" x14ac:dyDescent="0.25">
      <c r="A69" t="s">
        <v>21</v>
      </c>
      <c r="B69">
        <v>2025</v>
      </c>
      <c r="C69">
        <v>1608.83</v>
      </c>
      <c r="D69">
        <v>2.2685109251452271E-2</v>
      </c>
      <c r="E69">
        <v>0.74</v>
      </c>
      <c r="G69">
        <v>1</v>
      </c>
      <c r="H69" s="4" t="s">
        <v>106</v>
      </c>
      <c r="I69">
        <v>0</v>
      </c>
      <c r="J69">
        <v>1632</v>
      </c>
      <c r="K69">
        <v>1696</v>
      </c>
      <c r="L69">
        <v>1345.6628429661121</v>
      </c>
      <c r="M69">
        <v>4.496961663273865E-2</v>
      </c>
      <c r="O69">
        <v>0.96226415094339623</v>
      </c>
      <c r="P69">
        <v>5.8</v>
      </c>
      <c r="Q69" s="4">
        <f>(K69/J69)</f>
        <v>1.0392156862745099</v>
      </c>
      <c r="R69">
        <v>0.23383976173660934</v>
      </c>
      <c r="S69">
        <v>-0.1954459203036053</v>
      </c>
    </row>
    <row r="70" spans="1:19" x14ac:dyDescent="0.25">
      <c r="A70" t="s">
        <v>23</v>
      </c>
      <c r="B70">
        <v>2022</v>
      </c>
      <c r="C70">
        <v>2231.02</v>
      </c>
      <c r="D70">
        <v>4.0166918292586125E-2</v>
      </c>
      <c r="F70">
        <v>2.8898075203241114E-2</v>
      </c>
      <c r="G70">
        <v>1</v>
      </c>
      <c r="H70" s="4" t="s">
        <v>19</v>
      </c>
      <c r="I70">
        <v>0</v>
      </c>
      <c r="J70">
        <v>441</v>
      </c>
      <c r="K70">
        <v>7</v>
      </c>
      <c r="L70">
        <v>835.84144367424028</v>
      </c>
      <c r="M70">
        <v>7.5744932817125937E-2</v>
      </c>
      <c r="N70">
        <v>0</v>
      </c>
      <c r="O70">
        <v>63</v>
      </c>
      <c r="P70">
        <v>0.90909090909090906</v>
      </c>
      <c r="Q70" s="4">
        <f>(K70/J70)</f>
        <v>1.5873015873015872E-2</v>
      </c>
      <c r="R70">
        <v>5.6336524314908022E-2</v>
      </c>
      <c r="S70">
        <v>-0.39655172413793099</v>
      </c>
    </row>
    <row r="71" spans="1:19" x14ac:dyDescent="0.25">
      <c r="A71" t="s">
        <v>23</v>
      </c>
      <c r="B71">
        <v>2023</v>
      </c>
      <c r="C71">
        <v>2231.02</v>
      </c>
      <c r="D71">
        <v>2.8898075203241114E-2</v>
      </c>
      <c r="F71">
        <v>2.8846484556215773E-2</v>
      </c>
      <c r="G71">
        <v>1</v>
      </c>
      <c r="H71" s="4" t="s">
        <v>19</v>
      </c>
      <c r="I71">
        <v>0</v>
      </c>
      <c r="J71">
        <v>404</v>
      </c>
      <c r="K71">
        <v>7</v>
      </c>
      <c r="L71">
        <v>678.37244176215927</v>
      </c>
      <c r="M71">
        <v>5.8239451779563724E-2</v>
      </c>
      <c r="N71">
        <v>0</v>
      </c>
      <c r="O71">
        <v>57.714285714285715</v>
      </c>
      <c r="P71">
        <v>-8.390022675736962E-2</v>
      </c>
      <c r="Q71" s="4">
        <f>(K71/J71)</f>
        <v>1.7326732673267328E-2</v>
      </c>
      <c r="R71">
        <v>-0.28055035258766609</v>
      </c>
      <c r="S71">
        <v>0</v>
      </c>
    </row>
    <row r="72" spans="1:19" x14ac:dyDescent="0.25">
      <c r="A72" t="s">
        <v>23</v>
      </c>
      <c r="B72">
        <v>2024</v>
      </c>
      <c r="C72">
        <v>2231.02</v>
      </c>
      <c r="D72">
        <v>2.8846484556215773E-2</v>
      </c>
      <c r="F72">
        <v>2.9888142525625296E-2</v>
      </c>
      <c r="G72">
        <v>1</v>
      </c>
      <c r="H72" s="4" t="s">
        <v>19</v>
      </c>
      <c r="I72">
        <v>0</v>
      </c>
      <c r="J72">
        <v>631</v>
      </c>
      <c r="K72">
        <v>20</v>
      </c>
      <c r="L72">
        <v>729.20247697348589</v>
      </c>
      <c r="M72">
        <v>5.9912443083617727E-2</v>
      </c>
      <c r="N72">
        <v>0</v>
      </c>
      <c r="O72">
        <v>31.55</v>
      </c>
      <c r="P72">
        <v>0.56188118811881194</v>
      </c>
      <c r="Q72" s="4">
        <f>(K72/J72)</f>
        <v>3.1695721077654518E-2</v>
      </c>
      <c r="R72">
        <v>-1.7852623976684088E-3</v>
      </c>
      <c r="S72">
        <v>1.8571428571428572</v>
      </c>
    </row>
    <row r="73" spans="1:19" x14ac:dyDescent="0.25">
      <c r="A73" t="s">
        <v>23</v>
      </c>
      <c r="B73">
        <v>2025</v>
      </c>
      <c r="C73">
        <v>2231.02</v>
      </c>
      <c r="D73">
        <v>2.9888142525625296E-2</v>
      </c>
      <c r="G73">
        <v>1</v>
      </c>
      <c r="H73" s="4" t="s">
        <v>19</v>
      </c>
      <c r="I73">
        <v>0</v>
      </c>
      <c r="J73">
        <v>574</v>
      </c>
      <c r="K73">
        <v>2</v>
      </c>
      <c r="L73">
        <v>842.2860754422627</v>
      </c>
      <c r="M73">
        <v>5.9773478131556312E-2</v>
      </c>
      <c r="O73">
        <v>287</v>
      </c>
      <c r="P73">
        <v>-9.0332805071315372E-2</v>
      </c>
      <c r="Q73" s="4">
        <f>(K73/J73)</f>
        <v>3.4843205574912892E-3</v>
      </c>
      <c r="R73">
        <v>3.6110395614396232E-2</v>
      </c>
      <c r="S73">
        <v>-0.9</v>
      </c>
    </row>
    <row r="74" spans="1:19" x14ac:dyDescent="0.25">
      <c r="A74" t="s">
        <v>25</v>
      </c>
      <c r="B74">
        <v>2022</v>
      </c>
      <c r="C74">
        <v>1569.15</v>
      </c>
      <c r="D74">
        <v>1.8391299500970609E-2</v>
      </c>
      <c r="E74">
        <v>0.21</v>
      </c>
      <c r="F74">
        <v>2.0439015389918179E-2</v>
      </c>
      <c r="G74">
        <v>1</v>
      </c>
      <c r="H74" s="4" t="s">
        <v>21</v>
      </c>
      <c r="I74">
        <v>0</v>
      </c>
      <c r="J74">
        <v>40</v>
      </c>
      <c r="K74">
        <v>5</v>
      </c>
      <c r="L74">
        <v>336.10438955602228</v>
      </c>
      <c r="M74">
        <v>3.76415420781901E-2</v>
      </c>
      <c r="N74">
        <v>0</v>
      </c>
      <c r="O74">
        <v>8</v>
      </c>
      <c r="P74">
        <v>1</v>
      </c>
      <c r="Q74" s="4">
        <f>(K74/J74)</f>
        <v>0.125</v>
      </c>
      <c r="R74">
        <v>0.39844225619241858</v>
      </c>
      <c r="S74">
        <v>1.5</v>
      </c>
    </row>
    <row r="75" spans="1:19" x14ac:dyDescent="0.25">
      <c r="A75" t="s">
        <v>25</v>
      </c>
      <c r="B75">
        <v>2023</v>
      </c>
      <c r="C75">
        <v>1569.15</v>
      </c>
      <c r="D75">
        <v>2.0439015389918179E-2</v>
      </c>
      <c r="E75">
        <v>0.09</v>
      </c>
      <c r="F75">
        <v>2.1249203660402095E-2</v>
      </c>
      <c r="G75">
        <v>1</v>
      </c>
      <c r="H75" s="4" t="s">
        <v>21</v>
      </c>
      <c r="I75">
        <v>0</v>
      </c>
      <c r="J75">
        <v>246</v>
      </c>
      <c r="K75" s="4">
        <v>8</v>
      </c>
      <c r="L75">
        <v>450.10119205847565</v>
      </c>
      <c r="M75">
        <v>4.1429659055788812E-2</v>
      </c>
      <c r="N75">
        <v>0</v>
      </c>
      <c r="O75">
        <v>30.75</v>
      </c>
      <c r="P75">
        <v>5.15</v>
      </c>
      <c r="Q75" s="4">
        <f>(K75/J75)</f>
        <v>3.2520325203252036E-2</v>
      </c>
      <c r="R75">
        <v>0.11134155521960269</v>
      </c>
      <c r="S75">
        <v>0.6</v>
      </c>
    </row>
    <row r="76" spans="1:19" x14ac:dyDescent="0.25">
      <c r="A76" t="s">
        <v>25</v>
      </c>
      <c r="B76">
        <v>2024</v>
      </c>
      <c r="C76">
        <v>1569.15</v>
      </c>
      <c r="D76">
        <v>2.1249203660402095E-2</v>
      </c>
      <c r="E76">
        <v>0.1</v>
      </c>
      <c r="F76">
        <v>2.0368010224634182E-2</v>
      </c>
      <c r="G76">
        <v>1</v>
      </c>
      <c r="H76" s="4" t="s">
        <v>21</v>
      </c>
      <c r="I76">
        <v>0</v>
      </c>
      <c r="J76">
        <v>581</v>
      </c>
      <c r="K76">
        <v>11</v>
      </c>
      <c r="L76">
        <v>488.42276788059655</v>
      </c>
      <c r="M76">
        <v>4.5299392767049876E-2</v>
      </c>
      <c r="N76">
        <v>0</v>
      </c>
      <c r="O76">
        <v>52.81818181818182</v>
      </c>
      <c r="P76">
        <v>1.3617886178861789</v>
      </c>
      <c r="Q76" s="4">
        <f>(K76/J76)</f>
        <v>1.8932874354561102E-2</v>
      </c>
      <c r="R76">
        <v>3.9639300378605948E-2</v>
      </c>
      <c r="S76">
        <v>0.375</v>
      </c>
    </row>
    <row r="77" spans="1:19" x14ac:dyDescent="0.25">
      <c r="A77" t="s">
        <v>25</v>
      </c>
      <c r="B77">
        <v>2025</v>
      </c>
      <c r="C77">
        <v>1569.15</v>
      </c>
      <c r="D77">
        <v>2.0368010224634182E-2</v>
      </c>
      <c r="E77">
        <v>0.12</v>
      </c>
      <c r="G77">
        <v>1</v>
      </c>
      <c r="H77" s="4" t="s">
        <v>21</v>
      </c>
      <c r="I77">
        <v>0</v>
      </c>
      <c r="J77">
        <v>402</v>
      </c>
      <c r="K77">
        <v>11</v>
      </c>
      <c r="L77">
        <v>517.66719812080453</v>
      </c>
      <c r="M77">
        <v>4.2861129614669674E-2</v>
      </c>
      <c r="O77">
        <v>36.545454545454547</v>
      </c>
      <c r="P77">
        <v>-0.30808950086058517</v>
      </c>
      <c r="Q77" s="4">
        <f>(K77/J77)</f>
        <v>2.736318407960199E-2</v>
      </c>
      <c r="R77">
        <v>-4.1469480449755312E-2</v>
      </c>
      <c r="S77">
        <v>0</v>
      </c>
    </row>
    <row r="78" spans="1:19" x14ac:dyDescent="0.25">
      <c r="A78" t="s">
        <v>27</v>
      </c>
      <c r="B78">
        <v>2022</v>
      </c>
      <c r="C78">
        <v>3307.63</v>
      </c>
      <c r="D78">
        <v>0</v>
      </c>
      <c r="F78">
        <v>0</v>
      </c>
      <c r="G78">
        <v>1</v>
      </c>
      <c r="H78" s="4" t="s">
        <v>105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R78">
        <v>0</v>
      </c>
      <c r="S78">
        <v>0</v>
      </c>
    </row>
    <row r="79" spans="1:19" x14ac:dyDescent="0.25">
      <c r="A79" t="s">
        <v>27</v>
      </c>
      <c r="B79">
        <v>2023</v>
      </c>
      <c r="C79">
        <v>3307.63</v>
      </c>
      <c r="D79">
        <v>0</v>
      </c>
      <c r="F79">
        <v>0</v>
      </c>
      <c r="G79">
        <v>1</v>
      </c>
      <c r="H79" s="4" t="s">
        <v>105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R79">
        <v>0</v>
      </c>
      <c r="S79">
        <v>0</v>
      </c>
    </row>
    <row r="80" spans="1:19" x14ac:dyDescent="0.25">
      <c r="A80" t="s">
        <v>27</v>
      </c>
      <c r="B80">
        <v>2024</v>
      </c>
      <c r="C80">
        <v>3307.63</v>
      </c>
      <c r="D80">
        <v>0</v>
      </c>
      <c r="F80">
        <v>0</v>
      </c>
      <c r="G80">
        <v>1</v>
      </c>
      <c r="H80" s="4" t="s">
        <v>105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R80">
        <v>0</v>
      </c>
      <c r="S80">
        <v>0</v>
      </c>
    </row>
    <row r="81" spans="1:19" x14ac:dyDescent="0.25">
      <c r="A81" t="s">
        <v>27</v>
      </c>
      <c r="B81">
        <v>2025</v>
      </c>
      <c r="C81">
        <v>3307.63</v>
      </c>
      <c r="D81">
        <v>0</v>
      </c>
      <c r="G81">
        <v>1</v>
      </c>
      <c r="H81" s="4" t="s">
        <v>105</v>
      </c>
      <c r="I81">
        <v>0</v>
      </c>
      <c r="J81">
        <v>0</v>
      </c>
      <c r="K81">
        <v>0</v>
      </c>
      <c r="L81">
        <v>0</v>
      </c>
      <c r="M81">
        <v>0</v>
      </c>
      <c r="P81">
        <v>0</v>
      </c>
      <c r="R81">
        <v>0</v>
      </c>
      <c r="S81">
        <v>0</v>
      </c>
    </row>
    <row r="82" spans="1:19" x14ac:dyDescent="0.25">
      <c r="A82" t="s">
        <v>66</v>
      </c>
      <c r="B82">
        <v>2022</v>
      </c>
      <c r="C82">
        <v>2794.41</v>
      </c>
      <c r="D82">
        <v>2.1259091590145338E-3</v>
      </c>
      <c r="F82">
        <v>2.2388710278815897E-3</v>
      </c>
      <c r="G82">
        <v>0</v>
      </c>
      <c r="H82" s="4" t="s">
        <v>56</v>
      </c>
      <c r="I82">
        <v>0</v>
      </c>
      <c r="J82">
        <v>1</v>
      </c>
      <c r="K82">
        <v>46</v>
      </c>
      <c r="L82">
        <v>230.36544264385699</v>
      </c>
      <c r="M82">
        <v>1.0314657622317676E-2</v>
      </c>
      <c r="N82" s="4">
        <v>0</v>
      </c>
      <c r="O82">
        <v>2.1739130434782608E-2</v>
      </c>
      <c r="P82">
        <v>-0.8</v>
      </c>
      <c r="Q82" s="4">
        <f>(K82/J82)</f>
        <v>46</v>
      </c>
      <c r="R82">
        <v>-0.11067761683799816</v>
      </c>
      <c r="S82">
        <v>2.5384615384615383</v>
      </c>
    </row>
    <row r="83" spans="1:19" x14ac:dyDescent="0.25">
      <c r="A83" t="s">
        <v>66</v>
      </c>
      <c r="B83">
        <v>2023</v>
      </c>
      <c r="C83">
        <v>2794.41</v>
      </c>
      <c r="D83">
        <v>2.2388710278815897E-3</v>
      </c>
      <c r="F83">
        <v>2.1887218828687853E-3</v>
      </c>
      <c r="G83">
        <v>0</v>
      </c>
      <c r="H83" s="4" t="s">
        <v>54</v>
      </c>
      <c r="I83">
        <v>0</v>
      </c>
      <c r="J83">
        <v>63</v>
      </c>
      <c r="K83" s="4">
        <v>32</v>
      </c>
      <c r="L83">
        <v>245.6960557677175</v>
      </c>
      <c r="M83">
        <v>1.012898330804249E-2</v>
      </c>
      <c r="N83" s="4">
        <v>0</v>
      </c>
      <c r="O83">
        <v>1.96875</v>
      </c>
      <c r="P83">
        <v>62</v>
      </c>
      <c r="Q83" s="4">
        <f>(K83/J83)</f>
        <v>0.50793650793650791</v>
      </c>
      <c r="R83">
        <v>5.3135792932666744E-2</v>
      </c>
      <c r="S83">
        <v>-0.30434782608695654</v>
      </c>
    </row>
    <row r="84" spans="1:19" x14ac:dyDescent="0.25">
      <c r="A84" t="s">
        <v>66</v>
      </c>
      <c r="B84">
        <v>2024</v>
      </c>
      <c r="C84">
        <v>2794.41</v>
      </c>
      <c r="D84">
        <v>2.1887218828687853E-3</v>
      </c>
      <c r="F84">
        <v>2.1912979177091934E-3</v>
      </c>
      <c r="G84">
        <v>0</v>
      </c>
      <c r="H84" s="4" t="s">
        <v>105</v>
      </c>
      <c r="I84">
        <v>0</v>
      </c>
      <c r="J84">
        <v>38.5</v>
      </c>
      <c r="K84">
        <v>18</v>
      </c>
      <c r="L84">
        <v>255.05411582303927</v>
      </c>
      <c r="M84">
        <v>9.8114650290329515E-3</v>
      </c>
      <c r="N84" s="4">
        <v>0</v>
      </c>
      <c r="O84">
        <v>2.1388888888888888</v>
      </c>
      <c r="P84">
        <v>-0.3888888888888889</v>
      </c>
      <c r="Q84" s="4">
        <f>(K84/J84)</f>
        <v>0.46753246753246752</v>
      </c>
      <c r="R84">
        <v>-2.2399300535080571E-2</v>
      </c>
      <c r="S84">
        <v>-0.4375</v>
      </c>
    </row>
    <row r="85" spans="1:19" x14ac:dyDescent="0.25">
      <c r="A85" t="s">
        <v>66</v>
      </c>
      <c r="B85">
        <v>2025</v>
      </c>
      <c r="C85">
        <v>2794.41</v>
      </c>
      <c r="D85">
        <v>2.1912979177091934E-3</v>
      </c>
      <c r="G85">
        <v>0</v>
      </c>
      <c r="H85" s="4" t="s">
        <v>54</v>
      </c>
      <c r="I85">
        <v>0</v>
      </c>
      <c r="J85">
        <v>14</v>
      </c>
      <c r="K85">
        <v>24</v>
      </c>
      <c r="L85">
        <v>272.27169313539105</v>
      </c>
      <c r="M85">
        <v>9.2696261614296314E-3</v>
      </c>
      <c r="N85" s="4"/>
      <c r="O85">
        <v>0.58333333333333337</v>
      </c>
      <c r="P85">
        <v>-0.63636363636363635</v>
      </c>
      <c r="Q85" s="4">
        <f>(K85/J85)</f>
        <v>1.7142857142857142</v>
      </c>
      <c r="R85">
        <v>1.1769585074151534E-3</v>
      </c>
      <c r="S85">
        <v>0.33333333333333331</v>
      </c>
    </row>
    <row r="86" spans="1:19" x14ac:dyDescent="0.25">
      <c r="A86" t="s">
        <v>29</v>
      </c>
      <c r="B86">
        <v>2022</v>
      </c>
      <c r="C86">
        <v>2375.33</v>
      </c>
      <c r="D86">
        <v>1.6019037546483546E-2</v>
      </c>
      <c r="E86">
        <v>0.35</v>
      </c>
      <c r="F86">
        <v>1.533952857406955E-2</v>
      </c>
      <c r="G86">
        <v>1</v>
      </c>
      <c r="H86" s="4" t="s">
        <v>101</v>
      </c>
      <c r="I86">
        <v>1</v>
      </c>
      <c r="J86">
        <v>237</v>
      </c>
      <c r="K86">
        <v>1713</v>
      </c>
      <c r="L86">
        <v>564.13227378631973</v>
      </c>
      <c r="M86">
        <v>2.9161902349647266E-2</v>
      </c>
      <c r="N86">
        <v>2.2000000000000002</v>
      </c>
      <c r="O86">
        <v>0.13835376532399299</v>
      </c>
      <c r="P86">
        <v>0.12322274881516587</v>
      </c>
      <c r="Q86" s="4">
        <f>(K86/J86)</f>
        <v>7.2278481012658231</v>
      </c>
      <c r="R86">
        <v>-3.8275443229252959E-3</v>
      </c>
      <c r="S86">
        <v>5.2858020897357097E-2</v>
      </c>
    </row>
    <row r="87" spans="1:19" x14ac:dyDescent="0.25">
      <c r="A87" t="s">
        <v>29</v>
      </c>
      <c r="B87">
        <v>2023</v>
      </c>
      <c r="C87">
        <v>2375.33</v>
      </c>
      <c r="D87">
        <v>1.533952857406955E-2</v>
      </c>
      <c r="E87">
        <v>0.17</v>
      </c>
      <c r="F87">
        <v>1.5897659385982865E-2</v>
      </c>
      <c r="G87">
        <v>1</v>
      </c>
      <c r="H87" s="4" t="s">
        <v>101</v>
      </c>
      <c r="I87">
        <v>1</v>
      </c>
      <c r="J87">
        <v>425</v>
      </c>
      <c r="K87" s="4">
        <v>1367</v>
      </c>
      <c r="L87">
        <v>596.13702187854869</v>
      </c>
      <c r="M87">
        <v>2.8580410203432105E-2</v>
      </c>
      <c r="N87" s="4">
        <v>2.2000000000000002</v>
      </c>
      <c r="O87">
        <v>0.31089978054133138</v>
      </c>
      <c r="P87">
        <v>0.7932489451476793</v>
      </c>
      <c r="Q87" s="4">
        <f>(K87/J87)</f>
        <v>3.216470588235294</v>
      </c>
      <c r="R87">
        <v>-4.2418838862335974E-2</v>
      </c>
      <c r="S87">
        <v>-0.20198482194979567</v>
      </c>
    </row>
    <row r="88" spans="1:19" x14ac:dyDescent="0.25">
      <c r="A88" t="s">
        <v>29</v>
      </c>
      <c r="B88">
        <v>2024</v>
      </c>
      <c r="C88">
        <v>2375.33</v>
      </c>
      <c r="D88">
        <v>1.5897659385982865E-2</v>
      </c>
      <c r="E88">
        <v>0.19</v>
      </c>
      <c r="F88">
        <v>1.8887272002891593E-2</v>
      </c>
      <c r="G88">
        <v>1</v>
      </c>
      <c r="H88" s="4" t="s">
        <v>101</v>
      </c>
      <c r="I88">
        <v>1</v>
      </c>
      <c r="J88">
        <v>494</v>
      </c>
      <c r="K88">
        <v>1208</v>
      </c>
      <c r="L88">
        <v>636.82100351415045</v>
      </c>
      <c r="M88">
        <v>3.1548500830916967E-2</v>
      </c>
      <c r="N88">
        <v>2.2000000000000002</v>
      </c>
      <c r="O88">
        <v>0.40894039735099336</v>
      </c>
      <c r="P88">
        <v>0.16235294117647059</v>
      </c>
      <c r="Q88" s="4">
        <f>(K88/J88)</f>
        <v>2.4453441295546559</v>
      </c>
      <c r="R88">
        <v>3.6385134602949773E-2</v>
      </c>
      <c r="S88">
        <v>-0.1163130943672275</v>
      </c>
    </row>
    <row r="89" spans="1:19" x14ac:dyDescent="0.25">
      <c r="A89" t="s">
        <v>29</v>
      </c>
      <c r="B89">
        <v>2025</v>
      </c>
      <c r="C89">
        <v>2375.33</v>
      </c>
      <c r="D89">
        <v>1.8887272002891593E-2</v>
      </c>
      <c r="E89">
        <v>0.26</v>
      </c>
      <c r="G89">
        <v>1</v>
      </c>
      <c r="H89" s="4" t="s">
        <v>101</v>
      </c>
      <c r="I89">
        <v>1</v>
      </c>
      <c r="J89">
        <v>566</v>
      </c>
      <c r="K89">
        <v>1923</v>
      </c>
      <c r="L89">
        <v>812.54254218248957</v>
      </c>
      <c r="M89">
        <v>3.7391937463694402E-2</v>
      </c>
      <c r="O89">
        <v>0.29433177327093085</v>
      </c>
      <c r="P89">
        <v>0.145748987854251</v>
      </c>
      <c r="Q89" s="4">
        <f>(K89/J89)</f>
        <v>3.3975265017667846</v>
      </c>
      <c r="R89">
        <v>0.18805363382893342</v>
      </c>
      <c r="S89">
        <v>0.5918874172185431</v>
      </c>
    </row>
    <row r="90" spans="1:19" x14ac:dyDescent="0.25">
      <c r="A90" t="s">
        <v>74</v>
      </c>
      <c r="B90">
        <v>2022</v>
      </c>
      <c r="C90">
        <v>1873.73</v>
      </c>
      <c r="D90">
        <v>1.1500461457350886E-2</v>
      </c>
      <c r="F90">
        <v>1.2735135179807584E-2</v>
      </c>
      <c r="G90">
        <v>0</v>
      </c>
      <c r="H90" s="4" t="s">
        <v>58</v>
      </c>
      <c r="I90">
        <v>0</v>
      </c>
      <c r="J90">
        <v>1</v>
      </c>
      <c r="K90">
        <v>0</v>
      </c>
      <c r="L90">
        <v>62.314437848008438</v>
      </c>
      <c r="M90">
        <v>3.9884990253411301E-2</v>
      </c>
      <c r="N90">
        <v>0</v>
      </c>
      <c r="P90">
        <v>-0.88888888888888884</v>
      </c>
      <c r="Q90" s="4">
        <f>(K90/J90)</f>
        <v>0</v>
      </c>
      <c r="R90">
        <v>0.35950529156553807</v>
      </c>
      <c r="S90">
        <v>0</v>
      </c>
    </row>
    <row r="91" spans="1:19" x14ac:dyDescent="0.25">
      <c r="A91" t="s">
        <v>74</v>
      </c>
      <c r="B91">
        <v>2023</v>
      </c>
      <c r="C91">
        <v>1873.73</v>
      </c>
      <c r="D91">
        <v>1.2735135179807584E-2</v>
      </c>
      <c r="F91">
        <v>1.4786814384413311E-2</v>
      </c>
      <c r="G91">
        <v>0</v>
      </c>
      <c r="H91" s="4" t="s">
        <v>58</v>
      </c>
      <c r="I91">
        <v>0</v>
      </c>
      <c r="J91">
        <v>14</v>
      </c>
      <c r="K91">
        <v>0</v>
      </c>
      <c r="L91">
        <v>77.925427947852143</v>
      </c>
      <c r="M91">
        <v>4.2774809160305342E-2</v>
      </c>
      <c r="N91">
        <v>0</v>
      </c>
      <c r="P91">
        <v>13</v>
      </c>
      <c r="Q91" s="4">
        <f>(K91/J91)</f>
        <v>0</v>
      </c>
      <c r="R91">
        <v>0.10735862443741474</v>
      </c>
      <c r="S91">
        <v>0</v>
      </c>
    </row>
    <row r="92" spans="1:19" x14ac:dyDescent="0.25">
      <c r="A92" t="s">
        <v>74</v>
      </c>
      <c r="B92">
        <v>2024</v>
      </c>
      <c r="C92">
        <v>1873.73</v>
      </c>
      <c r="D92">
        <v>1.4786814384413311E-2</v>
      </c>
      <c r="F92">
        <v>1.852817265223786E-2</v>
      </c>
      <c r="G92">
        <v>0</v>
      </c>
      <c r="H92" s="4" t="s">
        <v>105</v>
      </c>
      <c r="I92">
        <v>0</v>
      </c>
      <c r="J92">
        <v>11</v>
      </c>
      <c r="K92">
        <v>0</v>
      </c>
      <c r="L92">
        <v>97.968650434715101</v>
      </c>
      <c r="M92">
        <v>4.9007044508485427E-2</v>
      </c>
      <c r="N92">
        <v>0</v>
      </c>
      <c r="P92">
        <v>-0.21428571428571427</v>
      </c>
      <c r="Q92" s="4">
        <f>(K92/J92)</f>
        <v>0</v>
      </c>
      <c r="R92">
        <v>0.16110384190179647</v>
      </c>
      <c r="S92">
        <v>0</v>
      </c>
    </row>
    <row r="93" spans="1:19" x14ac:dyDescent="0.25">
      <c r="A93" t="s">
        <v>74</v>
      </c>
      <c r="B93">
        <v>2025</v>
      </c>
      <c r="C93">
        <v>1873.73</v>
      </c>
      <c r="D93">
        <v>1.852817265223786E-2</v>
      </c>
      <c r="G93">
        <v>0</v>
      </c>
      <c r="H93" s="4" t="s">
        <v>101</v>
      </c>
      <c r="I93">
        <v>1</v>
      </c>
      <c r="J93">
        <v>8</v>
      </c>
      <c r="K93">
        <v>0</v>
      </c>
      <c r="L93">
        <v>139.69492711189292</v>
      </c>
      <c r="M93">
        <v>5.883809793376734E-2</v>
      </c>
      <c r="P93">
        <v>-0.27272727272727271</v>
      </c>
      <c r="Q93" s="4">
        <f>(K93/J93)</f>
        <v>0</v>
      </c>
      <c r="R93">
        <v>0.25301989803620528</v>
      </c>
      <c r="S93">
        <v>0</v>
      </c>
    </row>
    <row r="94" spans="1:19" x14ac:dyDescent="0.25">
      <c r="A94" t="s">
        <v>31</v>
      </c>
      <c r="B94">
        <v>2022</v>
      </c>
      <c r="C94">
        <v>841.57</v>
      </c>
      <c r="D94">
        <v>2.2546193105761919E-2</v>
      </c>
      <c r="F94">
        <v>2.9332537597542993E-2</v>
      </c>
      <c r="G94">
        <v>1</v>
      </c>
      <c r="H94" s="4" t="s">
        <v>101</v>
      </c>
      <c r="I94">
        <v>1</v>
      </c>
      <c r="J94">
        <v>34</v>
      </c>
      <c r="K94">
        <v>10</v>
      </c>
      <c r="L94">
        <v>456.11638607171653</v>
      </c>
      <c r="M94">
        <v>5.1787759256902911E-2</v>
      </c>
      <c r="N94">
        <v>0</v>
      </c>
      <c r="O94">
        <v>3.4</v>
      </c>
      <c r="P94">
        <v>1.2666666666666666</v>
      </c>
      <c r="Q94" s="4">
        <f>(K94/J94)</f>
        <v>0.29411764705882354</v>
      </c>
      <c r="R94">
        <v>4.5848575111286274E-2</v>
      </c>
      <c r="S94">
        <v>0</v>
      </c>
    </row>
    <row r="95" spans="1:19" x14ac:dyDescent="0.25">
      <c r="A95" t="s">
        <v>31</v>
      </c>
      <c r="B95">
        <v>2023</v>
      </c>
      <c r="C95">
        <v>841.57</v>
      </c>
      <c r="D95">
        <v>2.9332537597542993E-2</v>
      </c>
      <c r="F95">
        <v>3.2978665256537594E-2</v>
      </c>
      <c r="G95">
        <v>1</v>
      </c>
      <c r="H95" s="4" t="s">
        <v>56</v>
      </c>
      <c r="I95">
        <v>0</v>
      </c>
      <c r="J95">
        <v>47</v>
      </c>
      <c r="K95" s="4">
        <v>7</v>
      </c>
      <c r="L95">
        <v>665.10906851377069</v>
      </c>
      <c r="M95">
        <v>6.8434897983252752E-2</v>
      </c>
      <c r="N95">
        <v>0</v>
      </c>
      <c r="O95">
        <v>6.7142857142857144</v>
      </c>
      <c r="P95">
        <v>0.38235294117647056</v>
      </c>
      <c r="Q95" s="4">
        <f>(K95/J95)</f>
        <v>0.14893617021276595</v>
      </c>
      <c r="R95">
        <v>0.30099735507218517</v>
      </c>
      <c r="S95">
        <v>-0.3</v>
      </c>
    </row>
    <row r="96" spans="1:19" x14ac:dyDescent="0.25">
      <c r="A96" t="s">
        <v>31</v>
      </c>
      <c r="B96">
        <v>2024</v>
      </c>
      <c r="C96">
        <v>841.57</v>
      </c>
      <c r="D96">
        <v>3.2978665256537594E-2</v>
      </c>
      <c r="F96">
        <v>3.6077210002989017E-2</v>
      </c>
      <c r="G96">
        <v>1</v>
      </c>
      <c r="H96" s="4" t="s">
        <v>17</v>
      </c>
      <c r="I96">
        <v>0</v>
      </c>
      <c r="J96">
        <v>19</v>
      </c>
      <c r="K96">
        <v>4</v>
      </c>
      <c r="L96">
        <v>766.42749848313053</v>
      </c>
      <c r="M96">
        <v>7.4444879467531727E-2</v>
      </c>
      <c r="N96">
        <v>0</v>
      </c>
      <c r="O96">
        <v>4.75</v>
      </c>
      <c r="P96">
        <v>-0.5957446808510638</v>
      </c>
      <c r="Q96" s="4">
        <f>(K96/J96)</f>
        <v>0.21052631578947367</v>
      </c>
      <c r="R96">
        <v>0.12430317857327199</v>
      </c>
      <c r="S96">
        <v>-0.42857142857142855</v>
      </c>
    </row>
    <row r="97" spans="1:19" x14ac:dyDescent="0.25">
      <c r="A97" t="s">
        <v>31</v>
      </c>
      <c r="B97">
        <v>2025</v>
      </c>
      <c r="C97">
        <v>841.57</v>
      </c>
      <c r="D97">
        <v>3.6077210002989017E-2</v>
      </c>
      <c r="G97">
        <v>1</v>
      </c>
      <c r="H97" s="4" t="s">
        <v>105</v>
      </c>
      <c r="I97">
        <v>0</v>
      </c>
      <c r="J97">
        <v>19</v>
      </c>
      <c r="K97">
        <v>1</v>
      </c>
      <c r="L97">
        <v>928.94858779308197</v>
      </c>
      <c r="M97">
        <v>8.1762011292212625E-2</v>
      </c>
      <c r="O97">
        <v>19</v>
      </c>
      <c r="P97">
        <v>0</v>
      </c>
      <c r="Q97" s="4">
        <f>(K97/J97)</f>
        <v>5.2631578947368418E-2</v>
      </c>
      <c r="R97">
        <v>9.3956038619154747E-2</v>
      </c>
      <c r="S97">
        <v>-0.75</v>
      </c>
    </row>
    <row r="98" spans="1:19" x14ac:dyDescent="0.25">
      <c r="A98" t="s">
        <v>33</v>
      </c>
      <c r="B98">
        <v>2022</v>
      </c>
      <c r="C98">
        <v>790.41</v>
      </c>
      <c r="D98">
        <v>2.55872526789621E-2</v>
      </c>
      <c r="F98">
        <v>2.8363187347378773E-2</v>
      </c>
      <c r="G98">
        <v>1</v>
      </c>
      <c r="H98" s="4" t="s">
        <v>101</v>
      </c>
      <c r="I98">
        <v>1</v>
      </c>
      <c r="J98">
        <v>75</v>
      </c>
      <c r="K98">
        <v>25</v>
      </c>
      <c r="L98">
        <v>650.09459185253286</v>
      </c>
      <c r="M98">
        <v>7.057572783774943E-2</v>
      </c>
      <c r="N98">
        <v>0</v>
      </c>
      <c r="O98">
        <v>3</v>
      </c>
      <c r="P98">
        <v>-0.31192660550458717</v>
      </c>
      <c r="Q98" s="4">
        <f>(K98/J98)</f>
        <v>0.33333333333333331</v>
      </c>
      <c r="R98">
        <v>0.31246771559019465</v>
      </c>
      <c r="S98">
        <v>-0.25925925925925924</v>
      </c>
    </row>
    <row r="99" spans="1:19" x14ac:dyDescent="0.25">
      <c r="A99" t="s">
        <v>33</v>
      </c>
      <c r="B99">
        <v>2023</v>
      </c>
      <c r="C99">
        <v>790.41</v>
      </c>
      <c r="D99">
        <v>2.8363187347378773E-2</v>
      </c>
      <c r="F99">
        <v>3.1444552624154638E-2</v>
      </c>
      <c r="G99">
        <v>1</v>
      </c>
      <c r="H99" s="4" t="s">
        <v>21</v>
      </c>
      <c r="I99">
        <v>0</v>
      </c>
      <c r="J99">
        <v>97</v>
      </c>
      <c r="K99" s="4">
        <v>8</v>
      </c>
      <c r="L99">
        <v>795.8183009762306</v>
      </c>
      <c r="M99">
        <v>7.5885573401979628E-2</v>
      </c>
      <c r="N99">
        <v>0</v>
      </c>
      <c r="O99">
        <v>12.125</v>
      </c>
      <c r="P99">
        <v>0.29333333333333333</v>
      </c>
      <c r="Q99" s="4">
        <f>(K99/J99)</f>
        <v>8.247422680412371E-2</v>
      </c>
      <c r="R99">
        <v>0.10848896922407983</v>
      </c>
      <c r="S99">
        <v>-0.68</v>
      </c>
    </row>
    <row r="100" spans="1:19" x14ac:dyDescent="0.25">
      <c r="A100" t="s">
        <v>33</v>
      </c>
      <c r="B100">
        <v>2024</v>
      </c>
      <c r="C100">
        <v>790.41</v>
      </c>
      <c r="D100">
        <v>3.1444552624154638E-2</v>
      </c>
      <c r="F100">
        <v>3.0797536647170588E-2</v>
      </c>
      <c r="G100">
        <v>1</v>
      </c>
      <c r="H100" s="4" t="s">
        <v>101</v>
      </c>
      <c r="I100">
        <v>1</v>
      </c>
      <c r="J100">
        <v>77</v>
      </c>
      <c r="K100">
        <v>3</v>
      </c>
      <c r="L100">
        <v>937.8473881536753</v>
      </c>
      <c r="M100">
        <v>8.0154888673765731E-2</v>
      </c>
      <c r="N100">
        <v>0</v>
      </c>
      <c r="O100">
        <v>25.666666666666668</v>
      </c>
      <c r="P100">
        <v>-0.20618556701030927</v>
      </c>
      <c r="Q100" s="4">
        <f>(K100/J100)</f>
        <v>3.896103896103896E-2</v>
      </c>
      <c r="R100">
        <v>0.10863959818890503</v>
      </c>
      <c r="S100">
        <v>-0.625</v>
      </c>
    </row>
    <row r="101" spans="1:19" x14ac:dyDescent="0.25">
      <c r="A101" t="s">
        <v>33</v>
      </c>
      <c r="B101">
        <v>2025</v>
      </c>
      <c r="C101">
        <v>790.41</v>
      </c>
      <c r="D101">
        <v>3.0797536647170588E-2</v>
      </c>
      <c r="G101">
        <v>1</v>
      </c>
      <c r="H101" s="4" t="s">
        <v>101</v>
      </c>
      <c r="I101">
        <v>1</v>
      </c>
      <c r="J101">
        <v>29</v>
      </c>
      <c r="K101">
        <v>3</v>
      </c>
      <c r="L101">
        <v>1035.3460237753288</v>
      </c>
      <c r="M101">
        <v>7.5978399721286727E-2</v>
      </c>
      <c r="O101">
        <v>9.6666666666666661</v>
      </c>
      <c r="P101">
        <v>-0.62337662337662336</v>
      </c>
      <c r="Q101" s="4">
        <f>(K101/J101)</f>
        <v>0.10344827586206896</v>
      </c>
      <c r="R101">
        <v>-2.0576409043486732E-2</v>
      </c>
      <c r="S101">
        <v>0</v>
      </c>
    </row>
    <row r="102" spans="1:19" x14ac:dyDescent="0.25">
      <c r="A102" t="s">
        <v>35</v>
      </c>
      <c r="B102">
        <v>2022</v>
      </c>
      <c r="C102">
        <v>2207.44</v>
      </c>
      <c r="D102">
        <v>5.6575990919526887E-3</v>
      </c>
      <c r="F102">
        <v>6.8101825021937437E-3</v>
      </c>
      <c r="G102">
        <v>1</v>
      </c>
      <c r="H102" s="4" t="s">
        <v>105</v>
      </c>
      <c r="I102">
        <v>0</v>
      </c>
      <c r="J102">
        <v>30</v>
      </c>
      <c r="K102">
        <v>0</v>
      </c>
      <c r="L102">
        <v>714.5496665302777</v>
      </c>
      <c r="M102">
        <v>1.290044410458516E-2</v>
      </c>
      <c r="N102">
        <v>0</v>
      </c>
      <c r="P102">
        <v>-0.49152542372881358</v>
      </c>
      <c r="Q102" s="4">
        <f>(K102/J102)</f>
        <v>0</v>
      </c>
      <c r="R102">
        <v>0.36960535220941304</v>
      </c>
      <c r="S102">
        <v>0</v>
      </c>
    </row>
    <row r="103" spans="1:19" x14ac:dyDescent="0.25">
      <c r="A103" t="s">
        <v>35</v>
      </c>
      <c r="B103">
        <v>2023</v>
      </c>
      <c r="C103">
        <v>2207.44</v>
      </c>
      <c r="D103">
        <v>6.8101825021937437E-3</v>
      </c>
      <c r="F103">
        <v>6.6336405497870281E-3</v>
      </c>
      <c r="G103">
        <v>1</v>
      </c>
      <c r="H103" s="4" t="s">
        <v>65</v>
      </c>
      <c r="I103">
        <v>0</v>
      </c>
      <c r="J103">
        <v>1</v>
      </c>
      <c r="K103">
        <v>0</v>
      </c>
      <c r="L103">
        <v>882.80178874202147</v>
      </c>
      <c r="M103">
        <v>1.4185874875242947E-2</v>
      </c>
      <c r="N103">
        <v>0</v>
      </c>
      <c r="P103">
        <v>-0.96666666666666667</v>
      </c>
      <c r="Q103" s="4">
        <f>(K103/J103)</f>
        <v>0</v>
      </c>
      <c r="R103">
        <v>0.2037230619399098</v>
      </c>
      <c r="S103">
        <v>0</v>
      </c>
    </row>
    <row r="104" spans="1:19" x14ac:dyDescent="0.25">
      <c r="A104" t="s">
        <v>35</v>
      </c>
      <c r="B104">
        <v>2024</v>
      </c>
      <c r="C104">
        <v>2207.44</v>
      </c>
      <c r="D104">
        <v>6.6336405497870281E-3</v>
      </c>
      <c r="F104">
        <v>8.5105050505050513E-3</v>
      </c>
      <c r="G104">
        <v>1</v>
      </c>
      <c r="H104" s="4" t="s">
        <v>19</v>
      </c>
      <c r="I104">
        <v>0</v>
      </c>
      <c r="J104">
        <v>3</v>
      </c>
      <c r="K104">
        <v>0</v>
      </c>
      <c r="L104">
        <v>924.658262352316</v>
      </c>
      <c r="M104">
        <v>1.4154221341916316E-2</v>
      </c>
      <c r="N104">
        <v>0</v>
      </c>
      <c r="P104">
        <v>2</v>
      </c>
      <c r="Q104" s="4">
        <f>(K104/J104)</f>
        <v>0</v>
      </c>
      <c r="R104">
        <v>-2.5923233679838498E-2</v>
      </c>
      <c r="S104">
        <v>0</v>
      </c>
    </row>
    <row r="105" spans="1:19" x14ac:dyDescent="0.25">
      <c r="A105" t="s">
        <v>35</v>
      </c>
      <c r="B105">
        <v>2025</v>
      </c>
      <c r="C105">
        <v>2207.44</v>
      </c>
      <c r="D105">
        <v>8.5105050505050513E-3</v>
      </c>
      <c r="G105">
        <v>1</v>
      </c>
      <c r="H105" s="4" t="s">
        <v>65</v>
      </c>
      <c r="I105">
        <v>0</v>
      </c>
      <c r="J105">
        <v>11</v>
      </c>
      <c r="K105">
        <v>0</v>
      </c>
      <c r="L105">
        <v>1263.7754414707908</v>
      </c>
      <c r="M105">
        <v>1.7511974319299784E-2</v>
      </c>
      <c r="P105">
        <v>2.6666666666666665</v>
      </c>
      <c r="Q105" s="4">
        <f>(K105/J105)</f>
        <v>0</v>
      </c>
      <c r="R105">
        <v>0.28293129340242584</v>
      </c>
      <c r="S105">
        <v>0</v>
      </c>
    </row>
    <row r="106" spans="1:19" x14ac:dyDescent="0.25">
      <c r="A106" t="s">
        <v>67</v>
      </c>
      <c r="B106">
        <v>2022</v>
      </c>
      <c r="C106">
        <v>2814.65</v>
      </c>
      <c r="D106">
        <v>4.1986326735171308E-3</v>
      </c>
      <c r="F106">
        <v>3.770731855555768E-3</v>
      </c>
      <c r="G106">
        <v>0</v>
      </c>
      <c r="H106" s="4" t="s">
        <v>105</v>
      </c>
      <c r="I106">
        <v>0</v>
      </c>
      <c r="J106">
        <v>38.83</v>
      </c>
      <c r="K106">
        <v>0</v>
      </c>
      <c r="L106">
        <v>150.74521119517925</v>
      </c>
      <c r="M106">
        <v>1.0961392364639279E-2</v>
      </c>
      <c r="N106">
        <v>0</v>
      </c>
      <c r="P106">
        <v>0.18855218855218844</v>
      </c>
      <c r="Q106" s="4">
        <f>(K106/J106)</f>
        <v>0</v>
      </c>
      <c r="R106">
        <v>-5.8316015994029025E-2</v>
      </c>
      <c r="S106">
        <v>0</v>
      </c>
    </row>
    <row r="107" spans="1:19" x14ac:dyDescent="0.25">
      <c r="A107" t="s">
        <v>67</v>
      </c>
      <c r="B107">
        <v>2023</v>
      </c>
      <c r="C107">
        <v>2814.65</v>
      </c>
      <c r="D107">
        <v>3.770731855555768E-3</v>
      </c>
      <c r="F107">
        <v>3.7405793562318643E-3</v>
      </c>
      <c r="G107">
        <v>0</v>
      </c>
      <c r="H107" s="4" t="s">
        <v>29</v>
      </c>
      <c r="I107">
        <v>0</v>
      </c>
      <c r="J107">
        <v>45</v>
      </c>
      <c r="K107">
        <v>0</v>
      </c>
      <c r="L107">
        <v>160.97265263694533</v>
      </c>
      <c r="M107">
        <v>1.0463734350132627E-2</v>
      </c>
      <c r="N107">
        <v>0</v>
      </c>
      <c r="P107">
        <v>0.15889775946433177</v>
      </c>
      <c r="Q107" s="4">
        <f>(K107/J107)</f>
        <v>0</v>
      </c>
      <c r="R107">
        <v>-0.10191432574236528</v>
      </c>
      <c r="S107">
        <v>0</v>
      </c>
    </row>
    <row r="108" spans="1:19" x14ac:dyDescent="0.25">
      <c r="A108" t="s">
        <v>67</v>
      </c>
      <c r="B108">
        <v>2024</v>
      </c>
      <c r="C108">
        <v>2814.65</v>
      </c>
      <c r="D108">
        <v>3.7405793562318643E-3</v>
      </c>
      <c r="F108">
        <v>4.4882883904289409E-3</v>
      </c>
      <c r="G108">
        <v>0</v>
      </c>
      <c r="H108" s="4" t="s">
        <v>105</v>
      </c>
      <c r="I108">
        <v>0</v>
      </c>
      <c r="J108">
        <v>45</v>
      </c>
      <c r="K108">
        <v>0</v>
      </c>
      <c r="L108">
        <v>174.54891912911745</v>
      </c>
      <c r="M108">
        <v>1.00465737514518E-2</v>
      </c>
      <c r="N108">
        <v>0</v>
      </c>
      <c r="P108">
        <v>0</v>
      </c>
      <c r="Q108" s="4">
        <f>(K108/J108)</f>
        <v>0</v>
      </c>
      <c r="R108">
        <v>-7.9964581091803814E-3</v>
      </c>
      <c r="S108">
        <v>0</v>
      </c>
    </row>
    <row r="109" spans="1:19" x14ac:dyDescent="0.25">
      <c r="A109" t="s">
        <v>67</v>
      </c>
      <c r="B109">
        <v>2025</v>
      </c>
      <c r="C109">
        <v>2814.65</v>
      </c>
      <c r="D109">
        <v>4.4882883904289409E-3</v>
      </c>
      <c r="G109">
        <v>0</v>
      </c>
      <c r="H109" s="4" t="s">
        <v>105</v>
      </c>
      <c r="I109">
        <v>0</v>
      </c>
      <c r="J109">
        <v>45</v>
      </c>
      <c r="K109">
        <v>0</v>
      </c>
      <c r="L109">
        <v>229.64818349670927</v>
      </c>
      <c r="M109">
        <v>1.2614611872146119E-2</v>
      </c>
      <c r="P109">
        <v>0</v>
      </c>
      <c r="Q109" s="4">
        <f>(K109/J109)</f>
        <v>0</v>
      </c>
      <c r="R109">
        <v>0.19989123688858026</v>
      </c>
      <c r="S109">
        <v>0</v>
      </c>
    </row>
    <row r="110" spans="1:19" x14ac:dyDescent="0.25">
      <c r="A110" t="s">
        <v>71</v>
      </c>
      <c r="B110">
        <v>2022</v>
      </c>
      <c r="C110">
        <v>1144.6099999999999</v>
      </c>
      <c r="D110">
        <v>3.7426035500545854E-3</v>
      </c>
      <c r="F110">
        <v>5.5173043035320474E-3</v>
      </c>
      <c r="G110">
        <v>0</v>
      </c>
      <c r="H110" s="4" t="s">
        <v>105</v>
      </c>
      <c r="I110">
        <v>0</v>
      </c>
      <c r="J110">
        <v>12.93</v>
      </c>
      <c r="K110">
        <v>0</v>
      </c>
      <c r="L110">
        <v>18.12542187350325</v>
      </c>
      <c r="M110" s="4">
        <v>1.0234722139199395E-2</v>
      </c>
      <c r="N110">
        <v>0</v>
      </c>
      <c r="P110">
        <v>5.4432348367029777E-3</v>
      </c>
      <c r="Q110" s="4">
        <f>(K110/J110)</f>
        <v>0</v>
      </c>
      <c r="R110">
        <v>9.9256879563636661E-3</v>
      </c>
      <c r="S110">
        <v>0</v>
      </c>
    </row>
    <row r="111" spans="1:19" x14ac:dyDescent="0.25">
      <c r="A111" t="s">
        <v>71</v>
      </c>
      <c r="B111">
        <v>2023</v>
      </c>
      <c r="C111">
        <v>1144.6099999999999</v>
      </c>
      <c r="D111">
        <v>5.5173043035320474E-3</v>
      </c>
      <c r="F111">
        <v>5.9999970781524966E-3</v>
      </c>
      <c r="G111">
        <v>0</v>
      </c>
      <c r="H111" s="4" t="s">
        <v>19</v>
      </c>
      <c r="I111">
        <v>0</v>
      </c>
      <c r="J111">
        <v>13</v>
      </c>
      <c r="K111">
        <v>0</v>
      </c>
      <c r="L111">
        <v>29.929547801659048</v>
      </c>
      <c r="M111" s="4">
        <v>1.4208753637451114E-2</v>
      </c>
      <c r="N111" s="4">
        <v>0</v>
      </c>
      <c r="P111">
        <v>5.4137664346481269E-3</v>
      </c>
      <c r="Q111" s="4">
        <f>(K111/J111)</f>
        <v>0</v>
      </c>
      <c r="R111">
        <v>0.47418881795577261</v>
      </c>
      <c r="S111">
        <v>0</v>
      </c>
    </row>
    <row r="112" spans="1:19" x14ac:dyDescent="0.25">
      <c r="A112" t="s">
        <v>71</v>
      </c>
      <c r="B112">
        <v>2024</v>
      </c>
      <c r="C112">
        <v>1144.6099999999999</v>
      </c>
      <c r="D112">
        <v>5.9999970781524966E-3</v>
      </c>
      <c r="F112">
        <v>5.6030076794200967E-3</v>
      </c>
      <c r="G112">
        <v>0</v>
      </c>
      <c r="H112" s="4" t="s">
        <v>44</v>
      </c>
      <c r="I112">
        <v>0</v>
      </c>
      <c r="J112">
        <v>4</v>
      </c>
      <c r="K112">
        <v>0</v>
      </c>
      <c r="L112">
        <v>35.763659772379704</v>
      </c>
      <c r="M112" s="4">
        <v>1.5807372814475515E-2</v>
      </c>
      <c r="N112" s="4">
        <v>0</v>
      </c>
      <c r="P112">
        <v>-0.69230769230769229</v>
      </c>
      <c r="Q112" s="4">
        <f>(K112/J112)</f>
        <v>0</v>
      </c>
      <c r="R112">
        <v>8.7487067608621974E-2</v>
      </c>
      <c r="S112">
        <v>0</v>
      </c>
    </row>
    <row r="113" spans="1:19" x14ac:dyDescent="0.25">
      <c r="A113" t="s">
        <v>71</v>
      </c>
      <c r="B113">
        <v>2025</v>
      </c>
      <c r="C113">
        <v>1144.6099999999999</v>
      </c>
      <c r="D113">
        <v>5.6030076794200967E-3</v>
      </c>
      <c r="G113">
        <v>0</v>
      </c>
      <c r="H113" s="4" t="s">
        <v>106</v>
      </c>
      <c r="I113">
        <v>0</v>
      </c>
      <c r="J113">
        <v>5</v>
      </c>
      <c r="K113">
        <v>0</v>
      </c>
      <c r="L113">
        <v>37.555825149688431</v>
      </c>
      <c r="M113" s="4">
        <v>1.3856418276343039E-2</v>
      </c>
      <c r="P113">
        <v>0.25</v>
      </c>
      <c r="Q113" s="4">
        <f>(K113/J113)</f>
        <v>0</v>
      </c>
      <c r="R113">
        <v>-6.6164932009373553E-2</v>
      </c>
      <c r="S113">
        <v>0</v>
      </c>
    </row>
    <row r="114" spans="1:19" x14ac:dyDescent="0.25">
      <c r="A114" t="s">
        <v>36</v>
      </c>
      <c r="B114">
        <v>2022</v>
      </c>
      <c r="C114">
        <v>1983.23</v>
      </c>
      <c r="D114">
        <v>1.5676486317915697E-2</v>
      </c>
      <c r="F114">
        <v>1.4961429930890681E-2</v>
      </c>
      <c r="G114">
        <v>1</v>
      </c>
      <c r="H114" s="4" t="s">
        <v>101</v>
      </c>
      <c r="I114">
        <v>1</v>
      </c>
      <c r="J114">
        <v>2</v>
      </c>
      <c r="K114">
        <v>4</v>
      </c>
      <c r="L114">
        <v>162.91104276051689</v>
      </c>
      <c r="M114">
        <v>3.717072197846031E-2</v>
      </c>
      <c r="N114" s="4">
        <v>0</v>
      </c>
      <c r="O114">
        <v>0.5</v>
      </c>
      <c r="P114">
        <v>1</v>
      </c>
      <c r="Q114" s="4">
        <f>(K114/J114)</f>
        <v>2</v>
      </c>
      <c r="R114">
        <v>1.4666975500233525E-3</v>
      </c>
      <c r="S114">
        <v>0.17647058823529416</v>
      </c>
    </row>
    <row r="115" spans="1:19" x14ac:dyDescent="0.25">
      <c r="A115" t="s">
        <v>36</v>
      </c>
      <c r="B115">
        <v>2023</v>
      </c>
      <c r="C115">
        <v>1983.23</v>
      </c>
      <c r="D115">
        <v>1.4961429930890681E-2</v>
      </c>
      <c r="F115">
        <v>1.8143691107574373E-2</v>
      </c>
      <c r="G115">
        <v>1</v>
      </c>
      <c r="H115" s="4" t="s">
        <v>105</v>
      </c>
      <c r="I115">
        <v>0</v>
      </c>
      <c r="J115">
        <v>4</v>
      </c>
      <c r="K115" s="4">
        <v>4</v>
      </c>
      <c r="L115">
        <v>182.03946044764734</v>
      </c>
      <c r="M115">
        <v>3.7650409398362408E-2</v>
      </c>
      <c r="N115" s="4">
        <v>0</v>
      </c>
      <c r="O115">
        <v>1</v>
      </c>
      <c r="P115">
        <v>1</v>
      </c>
      <c r="Q115" s="4">
        <f>(K115/J115)</f>
        <v>1</v>
      </c>
      <c r="R115">
        <v>-4.5613307250351273E-2</v>
      </c>
      <c r="S115">
        <v>0</v>
      </c>
    </row>
    <row r="116" spans="1:19" x14ac:dyDescent="0.25">
      <c r="A116" t="s">
        <v>36</v>
      </c>
      <c r="B116">
        <v>2024</v>
      </c>
      <c r="C116">
        <v>1983.23</v>
      </c>
      <c r="D116">
        <v>1.8143691107574373E-2</v>
      </c>
      <c r="F116">
        <v>1.8899844431515031E-2</v>
      </c>
      <c r="G116">
        <v>1</v>
      </c>
      <c r="H116" s="4" t="s">
        <v>101</v>
      </c>
      <c r="I116">
        <v>1</v>
      </c>
      <c r="J116">
        <v>6</v>
      </c>
      <c r="K116">
        <v>4</v>
      </c>
      <c r="L116">
        <v>234.7794084083998</v>
      </c>
      <c r="M116">
        <v>4.1726835138387486E-2</v>
      </c>
      <c r="N116" s="4">
        <v>0</v>
      </c>
      <c r="O116">
        <v>1.5</v>
      </c>
      <c r="P116">
        <v>0.5</v>
      </c>
      <c r="Q116" s="4">
        <f>(K116/J116)</f>
        <v>0.66666666666666663</v>
      </c>
      <c r="R116">
        <v>0.21269766268218232</v>
      </c>
      <c r="S116">
        <v>0</v>
      </c>
    </row>
    <row r="117" spans="1:19" x14ac:dyDescent="0.25">
      <c r="A117" t="s">
        <v>36</v>
      </c>
      <c r="B117">
        <v>2025</v>
      </c>
      <c r="C117">
        <v>1983.23</v>
      </c>
      <c r="D117">
        <v>1.8899844431515031E-2</v>
      </c>
      <c r="G117">
        <v>1</v>
      </c>
      <c r="H117" s="4" t="s">
        <v>101</v>
      </c>
      <c r="I117">
        <v>1</v>
      </c>
      <c r="J117">
        <v>1</v>
      </c>
      <c r="K117">
        <v>4</v>
      </c>
      <c r="L117">
        <v>276.92363395105332</v>
      </c>
      <c r="M117">
        <v>4.3556916225994988E-2</v>
      </c>
      <c r="O117">
        <v>0.25</v>
      </c>
      <c r="P117">
        <v>-0.83333333333333337</v>
      </c>
      <c r="Q117" s="4">
        <f>(K117/J117)</f>
        <v>4</v>
      </c>
      <c r="R117">
        <v>4.1675826570095748E-2</v>
      </c>
      <c r="S117">
        <v>0</v>
      </c>
    </row>
    <row r="118" spans="1:19" x14ac:dyDescent="0.25">
      <c r="A118" t="s">
        <v>38</v>
      </c>
      <c r="B118">
        <v>2022</v>
      </c>
      <c r="C118">
        <v>2146.98</v>
      </c>
      <c r="D118">
        <v>1.3041999557263892E-2</v>
      </c>
      <c r="E118">
        <v>0.18</v>
      </c>
      <c r="F118">
        <v>1.4414119908317638E-2</v>
      </c>
      <c r="G118">
        <v>1</v>
      </c>
      <c r="H118" s="4" t="s">
        <v>101</v>
      </c>
      <c r="I118">
        <v>1</v>
      </c>
      <c r="J118">
        <v>725</v>
      </c>
      <c r="K118">
        <v>324</v>
      </c>
      <c r="L118">
        <v>766.32623972127294</v>
      </c>
      <c r="M118">
        <v>3.0143912331621642E-2</v>
      </c>
      <c r="N118" s="4">
        <v>0</v>
      </c>
      <c r="O118">
        <v>2.2376543209876543</v>
      </c>
      <c r="P118">
        <v>0.416015625</v>
      </c>
      <c r="Q118" s="4">
        <f>(K118/J118)</f>
        <v>0.44689655172413795</v>
      </c>
      <c r="R118">
        <v>-4.4804509547472088E-2</v>
      </c>
      <c r="S118">
        <v>-9.2436974789915971E-2</v>
      </c>
    </row>
    <row r="119" spans="1:19" x14ac:dyDescent="0.25">
      <c r="A119" t="s">
        <v>38</v>
      </c>
      <c r="B119">
        <v>2023</v>
      </c>
      <c r="C119">
        <v>2146.98</v>
      </c>
      <c r="D119">
        <v>1.4414119908317638E-2</v>
      </c>
      <c r="E119">
        <v>0.13</v>
      </c>
      <c r="F119">
        <v>1.9406499480159187E-2</v>
      </c>
      <c r="G119">
        <v>1</v>
      </c>
      <c r="H119" s="4" t="s">
        <v>101</v>
      </c>
      <c r="I119">
        <v>1</v>
      </c>
      <c r="J119">
        <v>374</v>
      </c>
      <c r="K119" s="4">
        <v>250</v>
      </c>
      <c r="L119">
        <v>922.63186650186026</v>
      </c>
      <c r="M119">
        <v>3.3303828041137157E-2</v>
      </c>
      <c r="N119" s="4">
        <v>0</v>
      </c>
      <c r="O119">
        <v>1.496</v>
      </c>
      <c r="P119">
        <v>-0.48413793103448277</v>
      </c>
      <c r="Q119" s="4">
        <f>(K119/J119)</f>
        <v>0.66844919786096257</v>
      </c>
      <c r="R119">
        <v>0.10520782070488018</v>
      </c>
      <c r="S119">
        <v>-0.22839506172839505</v>
      </c>
    </row>
    <row r="120" spans="1:19" x14ac:dyDescent="0.25">
      <c r="A120" t="s">
        <v>38</v>
      </c>
      <c r="B120">
        <v>2024</v>
      </c>
      <c r="C120">
        <v>2146.98</v>
      </c>
      <c r="D120">
        <v>1.9406499480159187E-2</v>
      </c>
      <c r="E120">
        <v>0.12</v>
      </c>
      <c r="F120">
        <v>2.1945445152637934E-2</v>
      </c>
      <c r="G120">
        <v>1</v>
      </c>
      <c r="H120" s="4" t="s">
        <v>101</v>
      </c>
      <c r="I120">
        <v>1</v>
      </c>
      <c r="J120">
        <v>333</v>
      </c>
      <c r="K120">
        <v>370</v>
      </c>
      <c r="L120">
        <v>1297.9231875219036</v>
      </c>
      <c r="M120">
        <v>4.3695688804371378E-2</v>
      </c>
      <c r="N120" s="4">
        <v>0</v>
      </c>
      <c r="O120">
        <v>0.9</v>
      </c>
      <c r="P120">
        <v>-0.10962566844919786</v>
      </c>
      <c r="Q120" s="4">
        <f>(K120/J120)</f>
        <v>1.1111111111111112</v>
      </c>
      <c r="R120">
        <v>0.34635340926786018</v>
      </c>
      <c r="S120">
        <v>0.48</v>
      </c>
    </row>
    <row r="121" spans="1:19" x14ac:dyDescent="0.25">
      <c r="A121" t="s">
        <v>38</v>
      </c>
      <c r="B121">
        <v>2025</v>
      </c>
      <c r="C121">
        <v>2146.98</v>
      </c>
      <c r="D121">
        <v>2.1945445152637934E-2</v>
      </c>
      <c r="E121">
        <v>0.12</v>
      </c>
      <c r="G121">
        <v>1</v>
      </c>
      <c r="H121" s="4" t="s">
        <v>101</v>
      </c>
      <c r="I121">
        <v>1</v>
      </c>
      <c r="J121">
        <v>824</v>
      </c>
      <c r="K121">
        <v>601</v>
      </c>
      <c r="L121">
        <v>1582.3558253572266</v>
      </c>
      <c r="M121">
        <v>4.8410316012309183E-2</v>
      </c>
      <c r="O121">
        <v>1.3710482529118135</v>
      </c>
      <c r="P121">
        <v>1.4744744744744744</v>
      </c>
      <c r="Q121" s="4">
        <f>(K121/J121)</f>
        <v>0.72936893203883491</v>
      </c>
      <c r="R121">
        <v>0.13082965709887628</v>
      </c>
      <c r="S121">
        <v>0.62432432432432428</v>
      </c>
    </row>
    <row r="122" spans="1:19" x14ac:dyDescent="0.25">
      <c r="A122" t="s">
        <v>40</v>
      </c>
      <c r="B122">
        <v>2022</v>
      </c>
      <c r="C122">
        <v>1924.4</v>
      </c>
      <c r="D122">
        <v>1.4877149247278792E-2</v>
      </c>
      <c r="F122">
        <v>1.767848964294589E-2</v>
      </c>
      <c r="G122">
        <v>1</v>
      </c>
      <c r="H122" s="4" t="s">
        <v>101</v>
      </c>
      <c r="I122">
        <v>1</v>
      </c>
      <c r="J122">
        <v>1</v>
      </c>
      <c r="K122">
        <v>31</v>
      </c>
      <c r="L122">
        <v>112.38217820966135</v>
      </c>
      <c r="M122">
        <v>4.2463520754347429E-2</v>
      </c>
      <c r="N122" s="4">
        <v>0</v>
      </c>
      <c r="O122">
        <v>3.2258064516129031E-2</v>
      </c>
      <c r="P122">
        <v>8.6956521739130391E-2</v>
      </c>
      <c r="Q122" s="4">
        <f>(K122/J122)</f>
        <v>31</v>
      </c>
      <c r="R122">
        <v>6.1325687290563174E-2</v>
      </c>
      <c r="S122">
        <v>0</v>
      </c>
    </row>
    <row r="123" spans="1:19" x14ac:dyDescent="0.25">
      <c r="A123" t="s">
        <v>40</v>
      </c>
      <c r="B123">
        <v>2023</v>
      </c>
      <c r="C123">
        <v>1924.4</v>
      </c>
      <c r="D123">
        <v>1.767848964294589E-2</v>
      </c>
      <c r="F123">
        <v>1.7669572156895866E-2</v>
      </c>
      <c r="G123">
        <v>1</v>
      </c>
      <c r="H123" s="4" t="s">
        <v>101</v>
      </c>
      <c r="I123">
        <v>1</v>
      </c>
      <c r="J123">
        <v>5</v>
      </c>
      <c r="K123" s="4">
        <v>59</v>
      </c>
      <c r="L123">
        <v>152.65843042059515</v>
      </c>
      <c r="M123">
        <v>5.0105786556004096E-2</v>
      </c>
      <c r="N123" s="4">
        <v>0</v>
      </c>
      <c r="O123">
        <v>8.4745762711864403E-2</v>
      </c>
      <c r="P123">
        <v>4</v>
      </c>
      <c r="Q123" s="4">
        <f>(K123/J123)</f>
        <v>11.8</v>
      </c>
      <c r="R123">
        <v>0.18829819806906192</v>
      </c>
      <c r="S123">
        <v>0.90322580645161288</v>
      </c>
    </row>
    <row r="124" spans="1:19" x14ac:dyDescent="0.25">
      <c r="A124" t="s">
        <v>40</v>
      </c>
      <c r="B124">
        <v>2024</v>
      </c>
      <c r="C124">
        <v>1924.4</v>
      </c>
      <c r="D124">
        <v>1.7669572156895866E-2</v>
      </c>
      <c r="F124">
        <v>1.9664112754277915E-2</v>
      </c>
      <c r="G124">
        <v>1</v>
      </c>
      <c r="H124" s="4" t="s">
        <v>101</v>
      </c>
      <c r="I124">
        <v>1</v>
      </c>
      <c r="J124">
        <v>1</v>
      </c>
      <c r="K124">
        <v>59</v>
      </c>
      <c r="L124">
        <v>163.89985260379078</v>
      </c>
      <c r="M124">
        <v>4.8880918220946916E-2</v>
      </c>
      <c r="N124" s="4">
        <v>0</v>
      </c>
      <c r="O124">
        <v>1.6949152542372881E-2</v>
      </c>
      <c r="P124">
        <v>-0.8</v>
      </c>
      <c r="Q124" s="4">
        <f>(K124/J124)</f>
        <v>59</v>
      </c>
      <c r="R124">
        <v>-5.0442578693831277E-4</v>
      </c>
      <c r="S124">
        <v>0</v>
      </c>
    </row>
    <row r="125" spans="1:19" x14ac:dyDescent="0.25">
      <c r="A125" t="s">
        <v>40</v>
      </c>
      <c r="B125">
        <v>2025</v>
      </c>
      <c r="C125">
        <v>1924.4</v>
      </c>
      <c r="D125">
        <v>1.9664112754277915E-2</v>
      </c>
      <c r="G125">
        <v>1</v>
      </c>
      <c r="H125" s="4" t="s">
        <v>101</v>
      </c>
      <c r="I125">
        <v>1</v>
      </c>
      <c r="J125">
        <v>9</v>
      </c>
      <c r="K125">
        <v>59</v>
      </c>
      <c r="L125">
        <v>206.07644240486496</v>
      </c>
      <c r="M125">
        <v>5.1305916324016772E-2</v>
      </c>
      <c r="O125">
        <v>0.15254237288135594</v>
      </c>
      <c r="P125">
        <v>8</v>
      </c>
      <c r="Q125" s="4">
        <f>(K125/J125)</f>
        <v>6.5555555555555554</v>
      </c>
      <c r="R125">
        <v>0.11287995994875544</v>
      </c>
      <c r="S125">
        <v>0</v>
      </c>
    </row>
    <row r="126" spans="1:19" x14ac:dyDescent="0.25">
      <c r="A126" t="s">
        <v>42</v>
      </c>
      <c r="B126">
        <v>2022</v>
      </c>
      <c r="C126">
        <v>1643.22</v>
      </c>
      <c r="D126">
        <v>1.4580566048103013E-2</v>
      </c>
      <c r="E126">
        <v>0.16</v>
      </c>
      <c r="F126">
        <v>1.8220116634934537E-2</v>
      </c>
      <c r="G126">
        <v>1</v>
      </c>
      <c r="H126" s="4" t="s">
        <v>101</v>
      </c>
      <c r="I126">
        <v>1</v>
      </c>
      <c r="J126">
        <v>700</v>
      </c>
      <c r="K126">
        <v>120</v>
      </c>
      <c r="L126">
        <v>1603.2709644269569</v>
      </c>
      <c r="M126">
        <v>3.8835506270715379E-2</v>
      </c>
      <c r="N126">
        <v>1</v>
      </c>
      <c r="O126">
        <v>5.833333333333333</v>
      </c>
      <c r="P126">
        <v>0.39165009940357853</v>
      </c>
      <c r="Q126" s="4">
        <f>(K126/J126)</f>
        <v>0.17142857142857143</v>
      </c>
      <c r="R126">
        <v>-0.13020485447704849</v>
      </c>
      <c r="S126">
        <v>0.17647058823529413</v>
      </c>
    </row>
    <row r="127" spans="1:19" x14ac:dyDescent="0.25">
      <c r="A127" t="s">
        <v>42</v>
      </c>
      <c r="B127">
        <v>2023</v>
      </c>
      <c r="C127">
        <v>1643.22</v>
      </c>
      <c r="D127">
        <v>1.8220116634934537E-2</v>
      </c>
      <c r="E127">
        <v>0.11</v>
      </c>
      <c r="F127">
        <v>2.2316488877548155E-2</v>
      </c>
      <c r="G127">
        <v>1</v>
      </c>
      <c r="H127" s="4" t="s">
        <v>101</v>
      </c>
      <c r="I127">
        <v>1</v>
      </c>
      <c r="J127">
        <v>200</v>
      </c>
      <c r="K127" s="4">
        <v>327</v>
      </c>
      <c r="L127">
        <v>1603.2271593852604</v>
      </c>
      <c r="M127">
        <v>3.9687304127435222E-2</v>
      </c>
      <c r="N127">
        <v>1</v>
      </c>
      <c r="O127">
        <v>0.6116207951070336</v>
      </c>
      <c r="P127">
        <v>-0.7142857142857143</v>
      </c>
      <c r="Q127" s="4">
        <f>(K127/J127)</f>
        <v>1.635</v>
      </c>
      <c r="R127">
        <v>0.2496165495100956</v>
      </c>
      <c r="S127">
        <v>1.7250000000000001</v>
      </c>
    </row>
    <row r="128" spans="1:19" x14ac:dyDescent="0.25">
      <c r="A128" t="s">
        <v>42</v>
      </c>
      <c r="B128">
        <v>2024</v>
      </c>
      <c r="C128">
        <v>1643.22</v>
      </c>
      <c r="D128">
        <v>2.2316488877548155E-2</v>
      </c>
      <c r="E128">
        <v>0.09</v>
      </c>
      <c r="F128">
        <v>3.2784814370343564E-2</v>
      </c>
      <c r="G128">
        <v>1</v>
      </c>
      <c r="H128" s="4" t="s">
        <v>101</v>
      </c>
      <c r="I128">
        <v>1</v>
      </c>
      <c r="J128">
        <v>379</v>
      </c>
      <c r="K128">
        <v>569</v>
      </c>
      <c r="L128">
        <v>1944.5981465834664</v>
      </c>
      <c r="M128">
        <v>4.6035807657100115E-2</v>
      </c>
      <c r="N128">
        <v>1</v>
      </c>
      <c r="O128">
        <v>0.66608084358523723</v>
      </c>
      <c r="P128">
        <v>0.89500000000000002</v>
      </c>
      <c r="Q128" s="4">
        <f>(K128/J128)</f>
        <v>1.5013192612137203</v>
      </c>
      <c r="R128">
        <v>0.22482689461819327</v>
      </c>
      <c r="S128">
        <v>0.74006116207951067</v>
      </c>
    </row>
    <row r="129" spans="1:23" x14ac:dyDescent="0.25">
      <c r="A129" t="s">
        <v>42</v>
      </c>
      <c r="B129">
        <v>2025</v>
      </c>
      <c r="C129">
        <v>1643.22</v>
      </c>
      <c r="D129">
        <v>3.2784814370343564E-2</v>
      </c>
      <c r="E129">
        <v>0.13</v>
      </c>
      <c r="G129">
        <v>1</v>
      </c>
      <c r="H129" s="4" t="s">
        <v>101</v>
      </c>
      <c r="I129">
        <v>1</v>
      </c>
      <c r="J129">
        <v>407</v>
      </c>
      <c r="K129">
        <v>415</v>
      </c>
      <c r="L129">
        <v>3039.7999858465514</v>
      </c>
      <c r="M129">
        <v>6.6990491891879611E-2</v>
      </c>
      <c r="O129">
        <v>0.98072289156626502</v>
      </c>
      <c r="P129">
        <v>7.3878627968337732E-2</v>
      </c>
      <c r="Q129" s="4">
        <f>(K129/J129)</f>
        <v>1.0196560196560196</v>
      </c>
      <c r="R129">
        <v>0.46908478973711804</v>
      </c>
      <c r="S129">
        <v>-0.27065026362038663</v>
      </c>
    </row>
    <row r="130" spans="1:23" x14ac:dyDescent="0.25">
      <c r="A130" t="s">
        <v>44</v>
      </c>
      <c r="B130">
        <v>2022</v>
      </c>
      <c r="C130">
        <v>1150.7</v>
      </c>
      <c r="D130">
        <v>2.2045890642888241E-2</v>
      </c>
      <c r="E130">
        <v>0.67</v>
      </c>
      <c r="F130">
        <v>3.2567225938533777E-2</v>
      </c>
      <c r="G130">
        <v>1</v>
      </c>
      <c r="H130" s="4" t="s">
        <v>100</v>
      </c>
      <c r="I130">
        <v>0</v>
      </c>
      <c r="J130">
        <v>414</v>
      </c>
      <c r="K130">
        <v>707</v>
      </c>
      <c r="L130">
        <v>404.0117109092572</v>
      </c>
      <c r="M130">
        <v>5.0975613939195544E-2</v>
      </c>
      <c r="N130">
        <v>1</v>
      </c>
      <c r="O130">
        <v>0.58557284299858559</v>
      </c>
      <c r="P130">
        <v>5.0882352941176467</v>
      </c>
      <c r="Q130" s="4">
        <f>(K130/J130)</f>
        <v>1.7077294685990339</v>
      </c>
      <c r="R130">
        <v>-5.6713115346394135E-3</v>
      </c>
      <c r="S130">
        <v>234.66666666666666</v>
      </c>
    </row>
    <row r="131" spans="1:23" x14ac:dyDescent="0.25">
      <c r="A131" t="s">
        <v>44</v>
      </c>
      <c r="B131">
        <v>2023</v>
      </c>
      <c r="C131">
        <v>1150.7</v>
      </c>
      <c r="D131">
        <v>3.2567225938533777E-2</v>
      </c>
      <c r="E131">
        <v>0.22</v>
      </c>
      <c r="F131">
        <v>3.7547161135064233E-2</v>
      </c>
      <c r="G131">
        <v>1</v>
      </c>
      <c r="H131" s="4" t="s">
        <v>101</v>
      </c>
      <c r="I131">
        <v>1</v>
      </c>
      <c r="J131">
        <v>1391</v>
      </c>
      <c r="K131" s="4">
        <v>576</v>
      </c>
      <c r="L131">
        <v>681.69517045465875</v>
      </c>
      <c r="M131">
        <v>6.9492492254210586E-2</v>
      </c>
      <c r="N131">
        <v>1</v>
      </c>
      <c r="O131">
        <v>2.4149305555555554</v>
      </c>
      <c r="P131">
        <v>2.3599033816425119</v>
      </c>
      <c r="Q131" s="4">
        <f>(K131/J131)</f>
        <v>0.41409058231488138</v>
      </c>
      <c r="R131">
        <v>0.47724700562458794</v>
      </c>
      <c r="S131">
        <v>-0.18528995756718528</v>
      </c>
    </row>
    <row r="132" spans="1:23" x14ac:dyDescent="0.25">
      <c r="A132" t="s">
        <v>44</v>
      </c>
      <c r="B132">
        <v>2024</v>
      </c>
      <c r="C132">
        <v>1150.7</v>
      </c>
      <c r="D132">
        <v>3.7547161135064233E-2</v>
      </c>
      <c r="E132">
        <v>0.16</v>
      </c>
      <c r="F132">
        <v>4.4969375748071326E-2</v>
      </c>
      <c r="G132">
        <v>1</v>
      </c>
      <c r="H132" s="4" t="s">
        <v>100</v>
      </c>
      <c r="I132">
        <v>0</v>
      </c>
      <c r="J132">
        <v>1542</v>
      </c>
      <c r="K132">
        <v>145</v>
      </c>
      <c r="L132">
        <v>890.15764207397604</v>
      </c>
      <c r="M132">
        <v>7.6243537340858231E-2</v>
      </c>
      <c r="N132">
        <v>1</v>
      </c>
      <c r="O132">
        <v>10.63448275862069</v>
      </c>
      <c r="P132">
        <v>0.10855499640546369</v>
      </c>
      <c r="Q132" s="4">
        <f>(K132/J132)</f>
        <v>9.4033722438391698E-2</v>
      </c>
      <c r="R132">
        <v>0.1529124772840465</v>
      </c>
      <c r="S132">
        <v>-0.74826388888888884</v>
      </c>
    </row>
    <row r="133" spans="1:23" x14ac:dyDescent="0.25">
      <c r="A133" t="s">
        <v>44</v>
      </c>
      <c r="B133">
        <v>2025</v>
      </c>
      <c r="C133">
        <v>1150.7</v>
      </c>
      <c r="D133">
        <v>4.4969375748071326E-2</v>
      </c>
      <c r="E133">
        <v>0.24</v>
      </c>
      <c r="G133">
        <v>1</v>
      </c>
      <c r="H133" s="4" t="s">
        <v>100</v>
      </c>
      <c r="I133">
        <v>0</v>
      </c>
      <c r="J133">
        <v>2169</v>
      </c>
      <c r="K133">
        <v>59</v>
      </c>
      <c r="L133">
        <v>1218.7698647606662</v>
      </c>
      <c r="M133">
        <v>9.0177940983283522E-2</v>
      </c>
      <c r="O133">
        <v>36.762711864406782</v>
      </c>
      <c r="P133">
        <v>0.4066147859922179</v>
      </c>
      <c r="Q133" s="4">
        <f>(K133/J133)</f>
        <v>2.7201475334255418E-2</v>
      </c>
      <c r="R133">
        <v>0.19767711828619972</v>
      </c>
      <c r="S133">
        <v>-0.59310344827586203</v>
      </c>
    </row>
    <row r="134" spans="1:23" x14ac:dyDescent="0.25">
      <c r="A134" t="s">
        <v>46</v>
      </c>
      <c r="B134">
        <v>2022</v>
      </c>
      <c r="C134">
        <v>3905.89</v>
      </c>
      <c r="D134">
        <v>1.3579437603049888E-2</v>
      </c>
      <c r="E134">
        <v>0.03</v>
      </c>
      <c r="F134">
        <v>1.2081998910940809E-2</v>
      </c>
      <c r="G134">
        <v>1</v>
      </c>
      <c r="H134" s="4" t="s">
        <v>105</v>
      </c>
      <c r="I134">
        <v>0</v>
      </c>
      <c r="J134">
        <v>36.5</v>
      </c>
      <c r="K134">
        <v>2</v>
      </c>
      <c r="L134" s="4">
        <v>334.92305938696768</v>
      </c>
      <c r="M134">
        <v>3.0950912794065435E-2</v>
      </c>
      <c r="N134">
        <v>0</v>
      </c>
      <c r="O134">
        <v>18.25</v>
      </c>
      <c r="P134">
        <v>5.083333333333333</v>
      </c>
      <c r="Q134" s="4">
        <f>(K134/J134)</f>
        <v>5.4794520547945202E-2</v>
      </c>
      <c r="R134">
        <v>-0.1040826166642002</v>
      </c>
      <c r="S134">
        <v>-0.81818181818181823</v>
      </c>
      <c r="W134" s="4"/>
    </row>
    <row r="135" spans="1:23" x14ac:dyDescent="0.25">
      <c r="A135" t="s">
        <v>46</v>
      </c>
      <c r="B135">
        <v>2023</v>
      </c>
      <c r="C135">
        <v>3905.89</v>
      </c>
      <c r="D135">
        <v>1.2081998910940809E-2</v>
      </c>
      <c r="E135">
        <v>0.02</v>
      </c>
      <c r="F135">
        <v>1.4441589583326142E-2</v>
      </c>
      <c r="G135">
        <v>1</v>
      </c>
      <c r="H135" s="4" t="s">
        <v>104</v>
      </c>
      <c r="I135">
        <v>0</v>
      </c>
      <c r="J135">
        <v>67</v>
      </c>
      <c r="K135" s="4">
        <v>8</v>
      </c>
      <c r="L135" s="4">
        <v>338.31829615501914</v>
      </c>
      <c r="M135">
        <v>2.8813888251795136E-2</v>
      </c>
      <c r="N135">
        <v>0</v>
      </c>
      <c r="O135">
        <v>8.375</v>
      </c>
      <c r="P135">
        <v>0.83561643835616439</v>
      </c>
      <c r="Q135" s="4">
        <f>(K135/J135)</f>
        <v>0.11940298507462686</v>
      </c>
      <c r="R135">
        <v>-0.11027251171085023</v>
      </c>
      <c r="S135">
        <v>3</v>
      </c>
      <c r="W135" s="4"/>
    </row>
    <row r="136" spans="1:23" x14ac:dyDescent="0.25">
      <c r="A136" t="s">
        <v>46</v>
      </c>
      <c r="B136">
        <v>2024</v>
      </c>
      <c r="C136">
        <v>3905.89</v>
      </c>
      <c r="D136">
        <v>1.4441589583326142E-2</v>
      </c>
      <c r="E136">
        <v>0.02</v>
      </c>
      <c r="F136">
        <v>1.7112082110627345E-2</v>
      </c>
      <c r="G136">
        <v>1</v>
      </c>
      <c r="H136" s="4" t="s">
        <v>104</v>
      </c>
      <c r="I136">
        <v>0</v>
      </c>
      <c r="J136">
        <v>61</v>
      </c>
      <c r="K136">
        <v>37</v>
      </c>
      <c r="L136" s="4">
        <v>433.73456587525106</v>
      </c>
      <c r="M136">
        <v>3.4269644496917225E-2</v>
      </c>
      <c r="N136">
        <v>0</v>
      </c>
      <c r="O136">
        <v>1.6486486486486487</v>
      </c>
      <c r="P136">
        <v>-8.9552238805970144E-2</v>
      </c>
      <c r="Q136" s="4">
        <f>(K136/J136)</f>
        <v>0.60655737704918034</v>
      </c>
      <c r="R136">
        <v>0.19529803716904945</v>
      </c>
      <c r="S136">
        <v>3.625</v>
      </c>
    </row>
    <row r="137" spans="1:23" x14ac:dyDescent="0.25">
      <c r="A137" t="s">
        <v>46</v>
      </c>
      <c r="B137">
        <v>2025</v>
      </c>
      <c r="C137">
        <v>3905.89</v>
      </c>
      <c r="D137">
        <v>1.7112082110627345E-2</v>
      </c>
      <c r="E137">
        <v>0.03</v>
      </c>
      <c r="G137">
        <v>1</v>
      </c>
      <c r="H137" s="4" t="s">
        <v>104</v>
      </c>
      <c r="I137">
        <v>0</v>
      </c>
      <c r="J137">
        <v>90</v>
      </c>
      <c r="K137">
        <v>1</v>
      </c>
      <c r="L137" s="4">
        <v>562.5074954981751</v>
      </c>
      <c r="M137">
        <v>3.9742991547787508E-2</v>
      </c>
      <c r="O137">
        <v>90</v>
      </c>
      <c r="P137">
        <v>0.47540983606557374</v>
      </c>
      <c r="Q137" s="4">
        <f>(K137/J137)</f>
        <v>1.1111111111111112E-2</v>
      </c>
      <c r="R137">
        <v>0.18491679962879426</v>
      </c>
      <c r="S137">
        <v>-0.97297297297297303</v>
      </c>
    </row>
    <row r="138" spans="1:23" x14ac:dyDescent="0.25">
      <c r="A138" t="s">
        <v>48</v>
      </c>
      <c r="B138">
        <v>2022</v>
      </c>
      <c r="C138">
        <v>1499.57</v>
      </c>
      <c r="D138">
        <v>1.7562500821538211E-2</v>
      </c>
      <c r="F138">
        <v>1.6174955024342616E-2</v>
      </c>
      <c r="G138">
        <v>1</v>
      </c>
      <c r="H138" s="4" t="s">
        <v>101</v>
      </c>
      <c r="I138">
        <v>1</v>
      </c>
      <c r="J138">
        <v>186</v>
      </c>
      <c r="K138">
        <v>1</v>
      </c>
      <c r="L138">
        <v>270.63413559638082</v>
      </c>
      <c r="M138">
        <v>4.6838402983234717E-2</v>
      </c>
      <c r="N138">
        <v>0</v>
      </c>
      <c r="O138">
        <v>186</v>
      </c>
      <c r="P138">
        <v>0.77142857142857146</v>
      </c>
      <c r="Q138" s="4">
        <f>(K138/J138)</f>
        <v>5.3763440860215058E-3</v>
      </c>
      <c r="R138">
        <v>-5.4455652237642739E-2</v>
      </c>
      <c r="S138">
        <v>-0.95982322217758131</v>
      </c>
    </row>
    <row r="139" spans="1:23" x14ac:dyDescent="0.25">
      <c r="A139" t="s">
        <v>48</v>
      </c>
      <c r="B139">
        <v>2023</v>
      </c>
      <c r="C139">
        <v>1499.57</v>
      </c>
      <c r="D139">
        <v>1.6174955024342616E-2</v>
      </c>
      <c r="F139">
        <v>2.1735767955505261E-2</v>
      </c>
      <c r="G139">
        <v>1</v>
      </c>
      <c r="H139" s="4" t="s">
        <v>101</v>
      </c>
      <c r="I139">
        <v>1</v>
      </c>
      <c r="J139">
        <v>364</v>
      </c>
      <c r="K139" s="4">
        <v>1</v>
      </c>
      <c r="L139">
        <v>293.43968224045335</v>
      </c>
      <c r="M139">
        <v>4.3755292917268943E-2</v>
      </c>
      <c r="N139">
        <v>0</v>
      </c>
      <c r="O139">
        <v>364</v>
      </c>
      <c r="P139">
        <v>0.956989247311828</v>
      </c>
      <c r="Q139" s="4">
        <f>(K139/J139)</f>
        <v>2.7472527472527475E-3</v>
      </c>
      <c r="R139">
        <v>-7.9006162692612847E-2</v>
      </c>
      <c r="S139">
        <v>0</v>
      </c>
    </row>
    <row r="140" spans="1:23" x14ac:dyDescent="0.25">
      <c r="A140" t="s">
        <v>48</v>
      </c>
      <c r="B140">
        <v>2024</v>
      </c>
      <c r="C140">
        <v>1499.57</v>
      </c>
      <c r="D140">
        <v>2.1735767955505261E-2</v>
      </c>
      <c r="F140">
        <v>2.281166438721189E-2</v>
      </c>
      <c r="G140">
        <v>1</v>
      </c>
      <c r="H140" s="4" t="s">
        <v>42</v>
      </c>
      <c r="I140">
        <v>0</v>
      </c>
      <c r="J140">
        <v>320</v>
      </c>
      <c r="K140">
        <v>123</v>
      </c>
      <c r="L140">
        <v>436.09413286658247</v>
      </c>
      <c r="M140">
        <v>5.4405705049401266E-2</v>
      </c>
      <c r="N140">
        <v>0</v>
      </c>
      <c r="O140">
        <v>2.6016260162601625</v>
      </c>
      <c r="P140">
        <v>-0.12087912087912088</v>
      </c>
      <c r="Q140" s="4">
        <f>(K140/J140)</f>
        <v>0.38437500000000002</v>
      </c>
      <c r="R140">
        <v>0.34379155446144111</v>
      </c>
      <c r="S140">
        <v>122</v>
      </c>
    </row>
    <row r="141" spans="1:23" x14ac:dyDescent="0.25">
      <c r="A141" t="s">
        <v>48</v>
      </c>
      <c r="B141">
        <v>2025</v>
      </c>
      <c r="C141">
        <v>1499.57</v>
      </c>
      <c r="D141">
        <v>2.281166438721189E-2</v>
      </c>
      <c r="G141">
        <v>1</v>
      </c>
      <c r="H141" s="4" t="s">
        <v>38</v>
      </c>
      <c r="I141">
        <v>0</v>
      </c>
      <c r="J141">
        <v>421</v>
      </c>
      <c r="K141">
        <v>132</v>
      </c>
      <c r="L141">
        <v>512.87717595551044</v>
      </c>
      <c r="M141">
        <v>5.6482953622152159E-2</v>
      </c>
      <c r="O141">
        <v>3.1893939393939394</v>
      </c>
      <c r="P141">
        <v>0.31562499999999999</v>
      </c>
      <c r="Q141" s="4">
        <f>(K141/J141)</f>
        <v>0.31353919239904987</v>
      </c>
      <c r="R141">
        <v>4.9498892052448701E-2</v>
      </c>
      <c r="S141">
        <v>7.3170731707317069E-2</v>
      </c>
    </row>
    <row r="142" spans="1:23" x14ac:dyDescent="0.25">
      <c r="A142" t="s">
        <v>73</v>
      </c>
      <c r="B142">
        <v>2022</v>
      </c>
      <c r="C142">
        <v>0</v>
      </c>
      <c r="D142">
        <v>4.5558544286682261E-2</v>
      </c>
      <c r="E142">
        <v>3.69</v>
      </c>
      <c r="F142">
        <v>5.2717027939170567E-2</v>
      </c>
      <c r="G142">
        <v>0</v>
      </c>
      <c r="H142" s="4" t="s">
        <v>102</v>
      </c>
      <c r="I142">
        <v>0</v>
      </c>
      <c r="J142">
        <v>39</v>
      </c>
      <c r="K142">
        <v>2566</v>
      </c>
      <c r="L142">
        <v>717.62009262028937</v>
      </c>
      <c r="M142" s="4">
        <v>0.12957169252488765</v>
      </c>
      <c r="N142">
        <v>2</v>
      </c>
      <c r="O142">
        <v>1.5198752922837101E-2</v>
      </c>
      <c r="P142">
        <v>5.5</v>
      </c>
      <c r="Q142" s="4">
        <f>(K142/J142)</f>
        <v>65.794871794871796</v>
      </c>
      <c r="R142">
        <v>0.26422014574923941</v>
      </c>
      <c r="S142">
        <v>7.0504797663746344E-2</v>
      </c>
    </row>
    <row r="143" spans="1:23" x14ac:dyDescent="0.25">
      <c r="A143" t="s">
        <v>73</v>
      </c>
      <c r="B143">
        <v>2023</v>
      </c>
      <c r="C143">
        <v>0</v>
      </c>
      <c r="D143">
        <v>5.2717027939170567E-2</v>
      </c>
      <c r="E143">
        <v>1.9</v>
      </c>
      <c r="F143">
        <v>6.8741527113979475E-2</v>
      </c>
      <c r="G143">
        <v>0</v>
      </c>
      <c r="H143" s="4" t="s">
        <v>102</v>
      </c>
      <c r="I143">
        <v>0</v>
      </c>
      <c r="J143">
        <v>95</v>
      </c>
      <c r="K143" s="4">
        <v>1513</v>
      </c>
      <c r="L143">
        <v>749.63658754770415</v>
      </c>
      <c r="M143" s="4">
        <v>0.14765737525488165</v>
      </c>
      <c r="N143">
        <v>2</v>
      </c>
      <c r="O143">
        <v>6.2789160608063443E-2</v>
      </c>
      <c r="P143">
        <v>1.4358974358974359</v>
      </c>
      <c r="Q143" s="4">
        <f>(K143/J143)</f>
        <v>15.926315789473684</v>
      </c>
      <c r="R143">
        <v>0.15712713750120599</v>
      </c>
      <c r="S143">
        <v>-0.41036632891660174</v>
      </c>
    </row>
    <row r="144" spans="1:23" x14ac:dyDescent="0.25">
      <c r="A144" t="s">
        <v>73</v>
      </c>
      <c r="B144">
        <v>2024</v>
      </c>
      <c r="C144">
        <v>0</v>
      </c>
      <c r="D144">
        <v>6.8741527113979475E-2</v>
      </c>
      <c r="E144">
        <v>1.62</v>
      </c>
      <c r="F144">
        <v>7.501484654936362E-2</v>
      </c>
      <c r="G144">
        <v>0</v>
      </c>
      <c r="H144" s="4" t="s">
        <v>124</v>
      </c>
      <c r="I144">
        <v>0</v>
      </c>
      <c r="J144">
        <v>315</v>
      </c>
      <c r="K144">
        <v>1994</v>
      </c>
      <c r="L144">
        <v>1028.8989785141323</v>
      </c>
      <c r="M144" s="4">
        <v>0.18643902844441368</v>
      </c>
      <c r="N144">
        <v>2</v>
      </c>
      <c r="O144">
        <v>0.1579739217652959</v>
      </c>
      <c r="P144">
        <v>2.3157894736842106</v>
      </c>
      <c r="Q144" s="4">
        <f>(K144/J144)</f>
        <v>6.3301587301587299</v>
      </c>
      <c r="R144">
        <v>0.3039719764418311</v>
      </c>
      <c r="S144">
        <v>0.317911434236616</v>
      </c>
    </row>
    <row r="145" spans="1:25" x14ac:dyDescent="0.25">
      <c r="A145" t="s">
        <v>73</v>
      </c>
      <c r="B145">
        <v>2025</v>
      </c>
      <c r="C145">
        <v>0</v>
      </c>
      <c r="D145">
        <v>7.501484654936362E-2</v>
      </c>
      <c r="E145">
        <v>1.65</v>
      </c>
      <c r="G145">
        <v>0</v>
      </c>
      <c r="H145" s="4" t="s">
        <v>102</v>
      </c>
      <c r="I145">
        <v>0</v>
      </c>
      <c r="J145">
        <v>129</v>
      </c>
      <c r="K145">
        <v>1941</v>
      </c>
      <c r="L145">
        <v>1318.3528297276332</v>
      </c>
      <c r="M145" s="4">
        <v>0.19826605322720864</v>
      </c>
      <c r="O145">
        <v>6.6460587326120563E-2</v>
      </c>
      <c r="P145">
        <v>-0.59047619047619049</v>
      </c>
      <c r="Q145" s="4">
        <f>(K145/J145)</f>
        <v>15.046511627906977</v>
      </c>
      <c r="R145">
        <v>9.1259529701492245E-2</v>
      </c>
      <c r="S145">
        <v>-2.657973921765296E-2</v>
      </c>
    </row>
    <row r="146" spans="1:25" x14ac:dyDescent="0.25">
      <c r="A146" t="s">
        <v>69</v>
      </c>
      <c r="B146">
        <v>2022</v>
      </c>
      <c r="C146">
        <v>1716.28</v>
      </c>
      <c r="D146">
        <v>2.1722730677851722E-2</v>
      </c>
      <c r="F146">
        <v>2.2080368554648622E-2</v>
      </c>
      <c r="G146">
        <v>0</v>
      </c>
      <c r="H146" s="4" t="s">
        <v>103</v>
      </c>
      <c r="I146">
        <v>0</v>
      </c>
      <c r="J146">
        <v>164</v>
      </c>
      <c r="K146">
        <v>12</v>
      </c>
      <c r="L146">
        <v>213.602691860736</v>
      </c>
      <c r="M146">
        <v>5.2507638279431237E-2</v>
      </c>
      <c r="N146">
        <v>0</v>
      </c>
      <c r="O146">
        <v>13.666666666666666</v>
      </c>
      <c r="P146">
        <v>0.40170940170940173</v>
      </c>
      <c r="Q146" s="4">
        <f>(K146/J146)</f>
        <v>7.3170731707317069E-2</v>
      </c>
      <c r="R146">
        <v>-0.20401593531604664</v>
      </c>
      <c r="S146">
        <v>3</v>
      </c>
    </row>
    <row r="147" spans="1:25" x14ac:dyDescent="0.25">
      <c r="A147" t="s">
        <v>69</v>
      </c>
      <c r="B147">
        <v>2023</v>
      </c>
      <c r="C147">
        <v>1716.28</v>
      </c>
      <c r="D147">
        <v>2.2080368554648622E-2</v>
      </c>
      <c r="F147">
        <v>2.6679990823124302E-2</v>
      </c>
      <c r="G147">
        <v>0</v>
      </c>
      <c r="H147" s="4" t="s">
        <v>103</v>
      </c>
      <c r="I147">
        <v>0</v>
      </c>
      <c r="J147">
        <v>370</v>
      </c>
      <c r="K147" s="4">
        <v>21</v>
      </c>
      <c r="L147">
        <v>264.59744960994317</v>
      </c>
      <c r="M147">
        <v>5.4384959402337875E-2</v>
      </c>
      <c r="N147">
        <v>0</v>
      </c>
      <c r="O147">
        <v>17.61904761904762</v>
      </c>
      <c r="P147">
        <v>1.2560975609756098</v>
      </c>
      <c r="Q147" s="4">
        <f>(K147/J147)</f>
        <v>5.675675675675676E-2</v>
      </c>
      <c r="R147">
        <v>1.6463762410935927E-2</v>
      </c>
      <c r="S147">
        <v>0.75</v>
      </c>
    </row>
    <row r="148" spans="1:25" x14ac:dyDescent="0.25">
      <c r="A148" t="s">
        <v>69</v>
      </c>
      <c r="B148">
        <v>2024</v>
      </c>
      <c r="C148">
        <v>1716.28</v>
      </c>
      <c r="D148">
        <v>2.6679990823124302E-2</v>
      </c>
      <c r="F148">
        <v>2.7553912788627778E-2</v>
      </c>
      <c r="G148">
        <v>0</v>
      </c>
      <c r="H148" s="4" t="s">
        <v>103</v>
      </c>
      <c r="I148">
        <v>0</v>
      </c>
      <c r="J148">
        <v>155</v>
      </c>
      <c r="K148">
        <v>30</v>
      </c>
      <c r="L148">
        <v>355.64338748682206</v>
      </c>
      <c r="M148">
        <v>6.3236610668677917E-2</v>
      </c>
      <c r="N148">
        <v>0</v>
      </c>
      <c r="O148">
        <v>5.166666666666667</v>
      </c>
      <c r="P148">
        <v>-0.58108108108108103</v>
      </c>
      <c r="Q148" s="4">
        <f>(K148/J148)</f>
        <v>0.19354838709677419</v>
      </c>
      <c r="R148">
        <v>0.20831274881538664</v>
      </c>
      <c r="S148">
        <v>0.42857142857142855</v>
      </c>
    </row>
    <row r="149" spans="1:25" x14ac:dyDescent="0.25">
      <c r="A149" t="s">
        <v>69</v>
      </c>
      <c r="B149">
        <v>2025</v>
      </c>
      <c r="C149">
        <v>1716.28</v>
      </c>
      <c r="D149">
        <v>2.7553912788627778E-2</v>
      </c>
      <c r="G149">
        <v>0</v>
      </c>
      <c r="H149" s="4" t="s">
        <v>103</v>
      </c>
      <c r="I149">
        <v>0</v>
      </c>
      <c r="J149">
        <v>146</v>
      </c>
      <c r="K149">
        <v>39</v>
      </c>
      <c r="L149">
        <v>414.24711052555193</v>
      </c>
      <c r="M149">
        <v>6.4365687133900423E-2</v>
      </c>
      <c r="O149">
        <v>3.7435897435897436</v>
      </c>
      <c r="P149">
        <v>-5.8064516129032261E-2</v>
      </c>
      <c r="Q149" s="4">
        <f>(K149/J149)</f>
        <v>0.26712328767123289</v>
      </c>
      <c r="R149">
        <v>3.275570712513224E-2</v>
      </c>
      <c r="S149">
        <v>0.3</v>
      </c>
    </row>
    <row r="150" spans="1:25" x14ac:dyDescent="0.25">
      <c r="A150" t="s">
        <v>50</v>
      </c>
      <c r="B150">
        <v>2022</v>
      </c>
      <c r="C150">
        <v>1631.23</v>
      </c>
      <c r="D150">
        <v>1.7847448227752843E-2</v>
      </c>
      <c r="F150">
        <v>1.7355347514658184E-2</v>
      </c>
      <c r="G150">
        <v>1</v>
      </c>
      <c r="H150" s="4" t="s">
        <v>21</v>
      </c>
      <c r="I150">
        <v>0</v>
      </c>
      <c r="J150">
        <v>3</v>
      </c>
      <c r="K150">
        <v>71</v>
      </c>
      <c r="L150">
        <v>380.58506950059171</v>
      </c>
      <c r="M150">
        <v>4.1514536849222447E-2</v>
      </c>
      <c r="N150">
        <v>0</v>
      </c>
      <c r="O150">
        <v>4.2253521126760563E-2</v>
      </c>
      <c r="P150">
        <v>2</v>
      </c>
      <c r="Q150" s="4">
        <f>(K150/J150)</f>
        <v>23.666666666666668</v>
      </c>
      <c r="R150">
        <v>8.4332043541329171E-2</v>
      </c>
      <c r="S150">
        <v>0.73170731707317072</v>
      </c>
    </row>
    <row r="151" spans="1:25" x14ac:dyDescent="0.25">
      <c r="A151" t="s">
        <v>50</v>
      </c>
      <c r="B151">
        <v>2023</v>
      </c>
      <c r="C151">
        <v>1631.23</v>
      </c>
      <c r="D151">
        <v>1.7355347514658184E-2</v>
      </c>
      <c r="F151">
        <v>1.9772007023864675E-2</v>
      </c>
      <c r="G151">
        <v>1</v>
      </c>
      <c r="H151" s="4" t="s">
        <v>21</v>
      </c>
      <c r="I151">
        <v>0</v>
      </c>
      <c r="J151">
        <v>30</v>
      </c>
      <c r="K151" s="4">
        <v>154</v>
      </c>
      <c r="L151">
        <v>417.79212911992937</v>
      </c>
      <c r="M151">
        <v>3.5897220165578517E-2</v>
      </c>
      <c r="N151">
        <v>0</v>
      </c>
      <c r="O151">
        <v>0.19480519480519481</v>
      </c>
      <c r="P151">
        <v>9</v>
      </c>
      <c r="Q151" s="4">
        <f>(K151/J151)</f>
        <v>5.1333333333333337</v>
      </c>
      <c r="R151">
        <v>-2.7572609081977346E-2</v>
      </c>
      <c r="S151">
        <v>1.1690140845070423</v>
      </c>
    </row>
    <row r="152" spans="1:25" x14ac:dyDescent="0.25">
      <c r="A152" t="s">
        <v>50</v>
      </c>
      <c r="B152">
        <v>2024</v>
      </c>
      <c r="C152">
        <v>1631.23</v>
      </c>
      <c r="D152">
        <v>1.9772007023864675E-2</v>
      </c>
      <c r="F152">
        <v>2.0319797041979115E-2</v>
      </c>
      <c r="G152">
        <v>1</v>
      </c>
      <c r="H152" s="4" t="s">
        <v>101</v>
      </c>
      <c r="I152">
        <v>1</v>
      </c>
      <c r="J152">
        <v>181</v>
      </c>
      <c r="K152">
        <v>81.5</v>
      </c>
      <c r="L152">
        <v>504.84304155971682</v>
      </c>
      <c r="M152">
        <v>4.171604498168973E-2</v>
      </c>
      <c r="N152">
        <v>0</v>
      </c>
      <c r="O152">
        <v>2.2208588957055215</v>
      </c>
      <c r="P152">
        <v>5.0333333333333332</v>
      </c>
      <c r="Q152" s="4">
        <f>(K152/J152)</f>
        <v>0.45027624309392267</v>
      </c>
      <c r="R152">
        <v>0.13924581499537247</v>
      </c>
      <c r="S152">
        <v>-0.4707792207792208</v>
      </c>
    </row>
    <row r="153" spans="1:25" x14ac:dyDescent="0.25">
      <c r="A153" t="s">
        <v>50</v>
      </c>
      <c r="B153">
        <v>2025</v>
      </c>
      <c r="C153">
        <v>1631.23</v>
      </c>
      <c r="D153">
        <v>2.0319797041979115E-2</v>
      </c>
      <c r="G153">
        <v>1</v>
      </c>
      <c r="H153" s="4" t="s">
        <v>101</v>
      </c>
      <c r="I153">
        <v>1</v>
      </c>
      <c r="J153">
        <v>445</v>
      </c>
      <c r="K153">
        <v>9</v>
      </c>
      <c r="L153">
        <v>567.5939503690737</v>
      </c>
      <c r="M153">
        <v>4.160308215570304E-2</v>
      </c>
      <c r="O153">
        <v>49.444444444444443</v>
      </c>
      <c r="P153">
        <v>1.4585635359116023</v>
      </c>
      <c r="Q153" s="4">
        <f>(K153/J153)</f>
        <v>2.0224719101123594E-2</v>
      </c>
      <c r="R153">
        <v>2.7705331960142496E-2</v>
      </c>
      <c r="S153">
        <v>-0.88957055214723924</v>
      </c>
    </row>
    <row r="154" spans="1:25" x14ac:dyDescent="0.25">
      <c r="A154" t="s">
        <v>52</v>
      </c>
      <c r="B154">
        <v>2022</v>
      </c>
      <c r="C154">
        <v>1932.1</v>
      </c>
      <c r="D154">
        <v>1.2956732487420313E-2</v>
      </c>
      <c r="F154">
        <v>1.3145977973341947E-2</v>
      </c>
      <c r="G154">
        <v>1</v>
      </c>
      <c r="H154" s="4" t="s">
        <v>105</v>
      </c>
      <c r="I154">
        <v>0</v>
      </c>
      <c r="J154">
        <v>16.5</v>
      </c>
      <c r="K154">
        <v>38</v>
      </c>
      <c r="L154">
        <v>366.8705077531859</v>
      </c>
      <c r="M154">
        <v>2.7175516224188789E-2</v>
      </c>
      <c r="N154">
        <v>0</v>
      </c>
      <c r="O154">
        <v>0.43421052631578949</v>
      </c>
      <c r="P154">
        <v>1.3571428571428572</v>
      </c>
      <c r="Q154" s="4">
        <f>(K154/J154)</f>
        <v>2.3030303030303032</v>
      </c>
      <c r="R154">
        <v>4.5224562305464233E-2</v>
      </c>
      <c r="S154">
        <v>0.14011401140114016</v>
      </c>
    </row>
    <row r="155" spans="1:25" x14ac:dyDescent="0.25">
      <c r="A155" t="s">
        <v>52</v>
      </c>
      <c r="B155">
        <v>2023</v>
      </c>
      <c r="C155">
        <v>1932.1</v>
      </c>
      <c r="D155">
        <v>1.3145977973341947E-2</v>
      </c>
      <c r="F155">
        <v>1.3438531321786304E-2</v>
      </c>
      <c r="G155">
        <v>1</v>
      </c>
      <c r="H155" s="4" t="s">
        <v>29</v>
      </c>
      <c r="I155">
        <v>0</v>
      </c>
      <c r="J155">
        <v>26</v>
      </c>
      <c r="K155" s="4">
        <v>2</v>
      </c>
      <c r="L155">
        <v>429.58539052711683</v>
      </c>
      <c r="M155">
        <v>2.8312037659717553E-2</v>
      </c>
      <c r="N155">
        <v>0</v>
      </c>
      <c r="O155">
        <v>13</v>
      </c>
      <c r="P155">
        <v>0.5757575757575758</v>
      </c>
      <c r="Q155" s="4">
        <f>(K155/J155)</f>
        <v>7.6923076923076927E-2</v>
      </c>
      <c r="R155">
        <v>1.4605957644442551E-2</v>
      </c>
      <c r="S155">
        <v>-0.94736842105263153</v>
      </c>
    </row>
    <row r="156" spans="1:25" x14ac:dyDescent="0.25">
      <c r="A156" t="s">
        <v>52</v>
      </c>
      <c r="B156">
        <v>2024</v>
      </c>
      <c r="C156">
        <v>1932.1</v>
      </c>
      <c r="D156">
        <v>1.3438531321786304E-2</v>
      </c>
      <c r="F156">
        <v>1.5441648249803949E-2</v>
      </c>
      <c r="G156">
        <v>1</v>
      </c>
      <c r="H156" s="4" t="s">
        <v>29</v>
      </c>
      <c r="I156">
        <v>0</v>
      </c>
      <c r="J156">
        <v>19</v>
      </c>
      <c r="K156">
        <v>3</v>
      </c>
      <c r="L156">
        <v>462.72862558753798</v>
      </c>
      <c r="M156">
        <v>2.8919816138917264E-2</v>
      </c>
      <c r="N156">
        <v>0</v>
      </c>
      <c r="O156">
        <v>6.333333333333333</v>
      </c>
      <c r="P156">
        <v>-0.26923076923076922</v>
      </c>
      <c r="Q156" s="4">
        <f>(K156/J156)</f>
        <v>0.15789473684210525</v>
      </c>
      <c r="R156">
        <v>2.2254209541322185E-2</v>
      </c>
      <c r="S156">
        <v>0.5</v>
      </c>
    </row>
    <row r="157" spans="1:25" x14ac:dyDescent="0.25">
      <c r="A157" t="s">
        <v>52</v>
      </c>
      <c r="B157">
        <v>2025</v>
      </c>
      <c r="C157">
        <v>1932.1</v>
      </c>
      <c r="D157">
        <v>1.5441648249803949E-2</v>
      </c>
      <c r="G157">
        <v>1</v>
      </c>
      <c r="H157" s="4" t="s">
        <v>105</v>
      </c>
      <c r="I157">
        <v>0</v>
      </c>
      <c r="J157">
        <v>19</v>
      </c>
      <c r="K157">
        <v>3</v>
      </c>
      <c r="L157">
        <v>576.75199968925051</v>
      </c>
      <c r="M157">
        <v>3.2043316172554584E-2</v>
      </c>
      <c r="O157">
        <v>6.333333333333333</v>
      </c>
      <c r="P157">
        <v>0</v>
      </c>
      <c r="Q157" s="4">
        <f>(K157/J157)</f>
        <v>0.15789473684210525</v>
      </c>
      <c r="R157">
        <v>0.14905772662599132</v>
      </c>
      <c r="S157">
        <v>0</v>
      </c>
    </row>
    <row r="158" spans="1:25" x14ac:dyDescent="0.25">
      <c r="A158" t="s">
        <v>54</v>
      </c>
      <c r="B158">
        <v>2022</v>
      </c>
      <c r="C158">
        <v>3440.34</v>
      </c>
      <c r="D158">
        <v>1.4319863242197806E-2</v>
      </c>
      <c r="E158">
        <v>0.17</v>
      </c>
      <c r="F158">
        <v>1.5349257992430034E-2</v>
      </c>
      <c r="G158">
        <v>1</v>
      </c>
      <c r="H158" s="4" t="s">
        <v>65</v>
      </c>
      <c r="I158">
        <v>0</v>
      </c>
      <c r="J158">
        <v>198</v>
      </c>
      <c r="K158">
        <v>1014</v>
      </c>
      <c r="L158" s="4">
        <v>433.9780277269291</v>
      </c>
      <c r="M158">
        <v>3.0889326483033903E-2</v>
      </c>
      <c r="N158">
        <v>1.45</v>
      </c>
      <c r="O158">
        <v>0.19526627218934911</v>
      </c>
      <c r="P158">
        <v>0.47761194029850745</v>
      </c>
      <c r="Q158" s="4">
        <f>(K158/J158)</f>
        <v>5.1212121212121211</v>
      </c>
      <c r="R158">
        <v>4.7665894625421992E-2</v>
      </c>
      <c r="S158">
        <v>0.5</v>
      </c>
    </row>
    <row r="159" spans="1:25" x14ac:dyDescent="0.25">
      <c r="A159" t="s">
        <v>54</v>
      </c>
      <c r="B159">
        <v>2023</v>
      </c>
      <c r="C159">
        <v>3440.34</v>
      </c>
      <c r="D159">
        <v>1.5349257992430034E-2</v>
      </c>
      <c r="E159">
        <v>0.11</v>
      </c>
      <c r="F159">
        <v>1.4603080918003174E-2</v>
      </c>
      <c r="G159">
        <v>1</v>
      </c>
      <c r="H159" s="4" t="s">
        <v>101</v>
      </c>
      <c r="I159">
        <v>1</v>
      </c>
      <c r="J159">
        <v>159</v>
      </c>
      <c r="K159" s="4">
        <v>912</v>
      </c>
      <c r="L159" s="4">
        <v>518.44487639281169</v>
      </c>
      <c r="M159">
        <v>3.3760852453623751E-2</v>
      </c>
      <c r="N159">
        <v>1.45</v>
      </c>
      <c r="O159">
        <v>0.17434210526315788</v>
      </c>
      <c r="P159">
        <v>-0.19696969696969696</v>
      </c>
      <c r="Q159" s="4">
        <f>(K159/J159)</f>
        <v>5.7358490566037732</v>
      </c>
      <c r="R159">
        <v>7.1885794774827552E-2</v>
      </c>
      <c r="S159">
        <v>-0.10059171597633136</v>
      </c>
      <c r="Y159" s="4"/>
    </row>
    <row r="160" spans="1:25" x14ac:dyDescent="0.25">
      <c r="A160" t="s">
        <v>54</v>
      </c>
      <c r="B160">
        <v>2024</v>
      </c>
      <c r="C160">
        <v>3440.34</v>
      </c>
      <c r="D160">
        <v>1.4603080918003174E-2</v>
      </c>
      <c r="E160">
        <v>0.11</v>
      </c>
      <c r="F160">
        <v>2.1289211382842128E-2</v>
      </c>
      <c r="G160">
        <v>1</v>
      </c>
      <c r="H160" s="4" t="s">
        <v>101</v>
      </c>
      <c r="I160">
        <v>1</v>
      </c>
      <c r="J160">
        <v>159</v>
      </c>
      <c r="K160">
        <v>606</v>
      </c>
      <c r="L160" s="4">
        <v>525.91900283375639</v>
      </c>
      <c r="M160">
        <v>3.2208976739167124E-2</v>
      </c>
      <c r="N160">
        <v>1.45</v>
      </c>
      <c r="O160">
        <v>0.26237623762376239</v>
      </c>
      <c r="P160">
        <v>0</v>
      </c>
      <c r="Q160" s="4">
        <f>(K160/J160)</f>
        <v>3.8113207547169812</v>
      </c>
      <c r="R160">
        <v>-4.861323425502783E-2</v>
      </c>
      <c r="S160">
        <v>-0.33552631578947367</v>
      </c>
      <c r="Y160" s="4"/>
    </row>
    <row r="161" spans="1:19" x14ac:dyDescent="0.25">
      <c r="A161" t="s">
        <v>54</v>
      </c>
      <c r="B161">
        <v>2025</v>
      </c>
      <c r="C161">
        <v>3440.34</v>
      </c>
      <c r="D161">
        <v>2.1289211382842128E-2</v>
      </c>
      <c r="E161">
        <v>0.15</v>
      </c>
      <c r="G161">
        <v>1</v>
      </c>
      <c r="H161" s="4" t="s">
        <v>65</v>
      </c>
      <c r="I161">
        <v>0</v>
      </c>
      <c r="J161">
        <v>237</v>
      </c>
      <c r="K161">
        <v>341</v>
      </c>
      <c r="L161" s="4">
        <v>839.40203134184401</v>
      </c>
      <c r="M161">
        <v>4.7368797313691854E-2</v>
      </c>
      <c r="O161">
        <v>0.69501466275659829</v>
      </c>
      <c r="P161">
        <v>0.49056603773584906</v>
      </c>
      <c r="Q161" s="4">
        <f>(K161/J161)</f>
        <v>1.4388185654008439</v>
      </c>
      <c r="R161">
        <v>0.45785752351725073</v>
      </c>
      <c r="S161">
        <v>-0.43729372937293731</v>
      </c>
    </row>
    <row r="162" spans="1:19" x14ac:dyDescent="0.25">
      <c r="A162" t="s">
        <v>56</v>
      </c>
      <c r="B162">
        <v>2022</v>
      </c>
      <c r="C162">
        <v>1227.06</v>
      </c>
      <c r="D162">
        <v>1.3426468560738876E-2</v>
      </c>
      <c r="E162">
        <v>0.23</v>
      </c>
      <c r="F162">
        <v>1.5173720090239805E-2</v>
      </c>
      <c r="G162">
        <v>0</v>
      </c>
      <c r="H162" s="4" t="s">
        <v>101</v>
      </c>
      <c r="I162">
        <v>1</v>
      </c>
      <c r="J162">
        <v>318</v>
      </c>
      <c r="K162">
        <v>83</v>
      </c>
      <c r="L162" s="4">
        <v>738.67298783605236</v>
      </c>
      <c r="M162">
        <v>2.7789885377790417E-2</v>
      </c>
      <c r="N162">
        <v>1</v>
      </c>
      <c r="O162">
        <v>3.8313253012048194</v>
      </c>
      <c r="P162">
        <v>1.8909090909090909</v>
      </c>
      <c r="Q162" s="4">
        <f>(K162/J162)</f>
        <v>0.2610062893081761</v>
      </c>
      <c r="R162">
        <v>0.11861635464151835</v>
      </c>
      <c r="S162">
        <v>-0.64830508474576276</v>
      </c>
    </row>
    <row r="163" spans="1:19" x14ac:dyDescent="0.25">
      <c r="A163" t="s">
        <v>56</v>
      </c>
      <c r="B163">
        <v>2023</v>
      </c>
      <c r="C163">
        <v>1227.06</v>
      </c>
      <c r="D163">
        <v>1.5173720090239805E-2</v>
      </c>
      <c r="E163">
        <v>0.14000000000000001</v>
      </c>
      <c r="F163">
        <v>1.9932278351101382E-2</v>
      </c>
      <c r="G163">
        <v>0</v>
      </c>
      <c r="H163" s="4" t="s">
        <v>101</v>
      </c>
      <c r="I163">
        <v>1</v>
      </c>
      <c r="J163">
        <v>98</v>
      </c>
      <c r="K163" s="4">
        <v>373</v>
      </c>
      <c r="L163" s="4">
        <v>834.96685323631482</v>
      </c>
      <c r="M163">
        <v>3.1025552354017813E-2</v>
      </c>
      <c r="N163">
        <v>1</v>
      </c>
      <c r="O163">
        <v>0.26273458445040215</v>
      </c>
      <c r="P163">
        <v>-0.69182389937106914</v>
      </c>
      <c r="Q163" s="4">
        <f>(K163/J163)</f>
        <v>3.806122448979592</v>
      </c>
      <c r="R163">
        <v>0.13013485426913893</v>
      </c>
      <c r="S163">
        <v>3.4939759036144578</v>
      </c>
    </row>
    <row r="164" spans="1:19" x14ac:dyDescent="0.25">
      <c r="A164" t="s">
        <v>56</v>
      </c>
      <c r="B164">
        <v>2024</v>
      </c>
      <c r="C164">
        <v>1227.06</v>
      </c>
      <c r="D164">
        <v>1.9932278351101382E-2</v>
      </c>
      <c r="E164">
        <v>0.11</v>
      </c>
      <c r="F164">
        <v>2.4711848495400413E-2</v>
      </c>
      <c r="G164">
        <v>1</v>
      </c>
      <c r="H164" s="4" t="s">
        <v>101</v>
      </c>
      <c r="I164">
        <v>1</v>
      </c>
      <c r="J164">
        <v>56</v>
      </c>
      <c r="K164">
        <v>405</v>
      </c>
      <c r="L164" s="4">
        <v>1138.5390113790049</v>
      </c>
      <c r="M164">
        <v>4.047721320612481E-2</v>
      </c>
      <c r="N164">
        <v>1</v>
      </c>
      <c r="O164">
        <v>0.13827160493827159</v>
      </c>
      <c r="P164">
        <v>-0.42857142857142855</v>
      </c>
      <c r="Q164" s="4">
        <f>(K164/J164)</f>
        <v>7.2321428571428568</v>
      </c>
      <c r="R164">
        <v>0.31360524858517885</v>
      </c>
      <c r="S164">
        <v>8.5790884718498661E-2</v>
      </c>
    </row>
    <row r="165" spans="1:19" x14ac:dyDescent="0.25">
      <c r="A165" t="s">
        <v>56</v>
      </c>
      <c r="B165">
        <v>2025</v>
      </c>
      <c r="C165">
        <v>1227.06</v>
      </c>
      <c r="D165">
        <v>2.4711848495400413E-2</v>
      </c>
      <c r="E165">
        <v>0.13</v>
      </c>
      <c r="G165">
        <v>1</v>
      </c>
      <c r="H165" s="4" t="s">
        <v>101</v>
      </c>
      <c r="I165">
        <v>1</v>
      </c>
      <c r="J165">
        <v>146</v>
      </c>
      <c r="K165">
        <v>235</v>
      </c>
      <c r="L165" s="4">
        <v>1549.2900545190514</v>
      </c>
      <c r="M165">
        <v>5.0457089284399043E-2</v>
      </c>
      <c r="O165">
        <v>0.62127659574468086</v>
      </c>
      <c r="P165">
        <v>1.6071428571428572</v>
      </c>
      <c r="Q165" s="4">
        <f>(K165/J165)</f>
        <v>1.6095890410958904</v>
      </c>
      <c r="R165">
        <v>0.23979045747346442</v>
      </c>
      <c r="S165">
        <v>-0.41975308641975306</v>
      </c>
    </row>
    <row r="166" spans="1:19" x14ac:dyDescent="0.25">
      <c r="A166" t="s">
        <v>65</v>
      </c>
      <c r="B166">
        <v>2022</v>
      </c>
      <c r="C166">
        <v>2288.61</v>
      </c>
      <c r="D166">
        <v>6.820613026440327E-3</v>
      </c>
      <c r="E166">
        <v>0.09</v>
      </c>
      <c r="F166">
        <v>7.0565902159642393E-3</v>
      </c>
      <c r="G166">
        <v>0</v>
      </c>
      <c r="H166" s="4" t="s">
        <v>101</v>
      </c>
      <c r="I166">
        <v>1</v>
      </c>
      <c r="J166">
        <v>15</v>
      </c>
      <c r="K166">
        <v>181</v>
      </c>
      <c r="L166" s="4">
        <v>646.46353129640261</v>
      </c>
      <c r="M166">
        <v>2.1614963065040779E-2</v>
      </c>
      <c r="N166">
        <v>0</v>
      </c>
      <c r="O166">
        <v>8.2872928176795577E-2</v>
      </c>
      <c r="P166">
        <v>-0.37939594538684324</v>
      </c>
      <c r="Q166" s="4">
        <f>(K166/J166)</f>
        <v>12.066666666666666</v>
      </c>
      <c r="R166">
        <v>1.3625994267862946E-2</v>
      </c>
      <c r="S166">
        <v>0.69158878504672894</v>
      </c>
    </row>
    <row r="167" spans="1:19" x14ac:dyDescent="0.25">
      <c r="A167" t="s">
        <v>65</v>
      </c>
      <c r="B167">
        <v>2023</v>
      </c>
      <c r="C167">
        <v>2288.61</v>
      </c>
      <c r="D167">
        <v>7.0565902159642393E-3</v>
      </c>
      <c r="E167">
        <v>0.06</v>
      </c>
      <c r="F167">
        <v>6.9789888852098744E-3</v>
      </c>
      <c r="G167">
        <v>0</v>
      </c>
      <c r="H167" s="4" t="s">
        <v>106</v>
      </c>
      <c r="I167">
        <v>0</v>
      </c>
      <c r="J167">
        <v>33</v>
      </c>
      <c r="K167" s="4">
        <v>63</v>
      </c>
      <c r="L167" s="4">
        <v>713.73420972513225</v>
      </c>
      <c r="M167">
        <v>2.1965673913801317E-2</v>
      </c>
      <c r="N167">
        <v>0</v>
      </c>
      <c r="O167">
        <v>0.52380952380952384</v>
      </c>
      <c r="P167">
        <v>1.2</v>
      </c>
      <c r="Q167" s="4">
        <f>(K167/J167)</f>
        <v>1.9090909090909092</v>
      </c>
      <c r="R167">
        <v>3.459765106290872E-2</v>
      </c>
      <c r="S167">
        <v>-0.65193370165745856</v>
      </c>
    </row>
    <row r="168" spans="1:19" x14ac:dyDescent="0.25">
      <c r="A168" t="s">
        <v>65</v>
      </c>
      <c r="B168">
        <v>2024</v>
      </c>
      <c r="C168">
        <v>2288.61</v>
      </c>
      <c r="D168">
        <v>6.9789888852098744E-3</v>
      </c>
      <c r="E168">
        <v>0.08</v>
      </c>
      <c r="F168">
        <v>7.569245382939775E-3</v>
      </c>
      <c r="G168">
        <v>0</v>
      </c>
      <c r="H168" s="4" t="s">
        <v>105</v>
      </c>
      <c r="I168">
        <v>0</v>
      </c>
      <c r="J168">
        <v>38</v>
      </c>
      <c r="K168">
        <v>11</v>
      </c>
      <c r="L168" s="4">
        <v>734.57186377517428</v>
      </c>
      <c r="M168">
        <v>2.1827339930438346E-2</v>
      </c>
      <c r="N168">
        <v>0</v>
      </c>
      <c r="O168">
        <v>3.4545454545454546</v>
      </c>
      <c r="P168">
        <v>0.15151515151515152</v>
      </c>
      <c r="Q168" s="4">
        <f>(K168/J168)</f>
        <v>0.28947368421052633</v>
      </c>
      <c r="R168">
        <v>-1.0997001154864593E-2</v>
      </c>
      <c r="S168">
        <v>-0.82539682539682535</v>
      </c>
    </row>
    <row r="169" spans="1:19" x14ac:dyDescent="0.25">
      <c r="A169" t="s">
        <v>65</v>
      </c>
      <c r="B169">
        <v>2025</v>
      </c>
      <c r="C169">
        <v>2288.61</v>
      </c>
      <c r="D169">
        <v>7.569245382939775E-3</v>
      </c>
      <c r="E169">
        <v>7.0000000000000007E-2</v>
      </c>
      <c r="G169">
        <v>0</v>
      </c>
      <c r="H169" s="4" t="s">
        <v>105</v>
      </c>
      <c r="I169">
        <v>0</v>
      </c>
      <c r="J169">
        <v>43</v>
      </c>
      <c r="K169">
        <v>129</v>
      </c>
      <c r="L169" s="4">
        <v>848.59118045223499</v>
      </c>
      <c r="M169">
        <v>2.3559982514673849E-2</v>
      </c>
      <c r="O169">
        <v>0.33333333333333331</v>
      </c>
      <c r="P169">
        <v>0.13157894736842105</v>
      </c>
      <c r="Q169" s="4">
        <f>(K169/J169)</f>
        <v>3</v>
      </c>
      <c r="R169">
        <v>8.4576219770287009E-2</v>
      </c>
      <c r="S169">
        <v>10.727272727272727</v>
      </c>
    </row>
    <row r="170" spans="1:19" x14ac:dyDescent="0.25">
      <c r="A170" t="s">
        <v>58</v>
      </c>
      <c r="B170">
        <v>2022</v>
      </c>
      <c r="C170">
        <v>1793.78</v>
      </c>
      <c r="D170">
        <v>1.624804171015112E-2</v>
      </c>
      <c r="E170">
        <v>0.45</v>
      </c>
      <c r="F170">
        <v>1.685271582274012E-2</v>
      </c>
      <c r="G170">
        <v>1</v>
      </c>
      <c r="H170" s="4" t="s">
        <v>54</v>
      </c>
      <c r="I170">
        <v>0</v>
      </c>
      <c r="J170">
        <v>187</v>
      </c>
      <c r="K170">
        <v>628</v>
      </c>
      <c r="L170">
        <v>173.06132786059365</v>
      </c>
      <c r="M170">
        <v>6.0690408028583685E-2</v>
      </c>
      <c r="N170">
        <v>4</v>
      </c>
      <c r="O170">
        <v>0.29777070063694266</v>
      </c>
      <c r="P170">
        <v>-0.24899598393574296</v>
      </c>
      <c r="Q170" s="4">
        <f>(K170/J170)</f>
        <v>3.358288770053476</v>
      </c>
      <c r="R170">
        <v>-0.10452386853059573</v>
      </c>
      <c r="S170">
        <v>0.19391634980988592</v>
      </c>
    </row>
    <row r="171" spans="1:19" x14ac:dyDescent="0.25">
      <c r="A171" t="s">
        <v>58</v>
      </c>
      <c r="B171">
        <v>2023</v>
      </c>
      <c r="C171">
        <v>1793.78</v>
      </c>
      <c r="D171">
        <v>1.685271582274012E-2</v>
      </c>
      <c r="E171">
        <v>0.31</v>
      </c>
      <c r="F171">
        <v>1.8403146027679805E-2</v>
      </c>
      <c r="G171">
        <v>1</v>
      </c>
      <c r="H171" s="4" t="s">
        <v>54</v>
      </c>
      <c r="I171">
        <v>0</v>
      </c>
      <c r="J171">
        <v>679</v>
      </c>
      <c r="K171" s="4">
        <v>698</v>
      </c>
      <c r="L171">
        <v>220.6400120943556</v>
      </c>
      <c r="M171">
        <v>5.1823882544937069E-2</v>
      </c>
      <c r="N171">
        <v>4</v>
      </c>
      <c r="O171">
        <v>0.97277936962750722</v>
      </c>
      <c r="P171">
        <v>2.6310160427807485</v>
      </c>
      <c r="Q171" s="4">
        <f>(K171/J171)</f>
        <v>1.027982326951399</v>
      </c>
      <c r="R171">
        <v>3.721519942992417E-2</v>
      </c>
      <c r="S171">
        <v>0.11146496815286625</v>
      </c>
    </row>
    <row r="172" spans="1:19" x14ac:dyDescent="0.25">
      <c r="A172" t="s">
        <v>58</v>
      </c>
      <c r="B172">
        <v>2024</v>
      </c>
      <c r="C172">
        <v>1793.78</v>
      </c>
      <c r="D172">
        <v>1.8403146027679805E-2</v>
      </c>
      <c r="E172">
        <v>0.32</v>
      </c>
      <c r="F172">
        <v>1.9082522771435701E-2</v>
      </c>
      <c r="G172">
        <v>1</v>
      </c>
      <c r="H172" s="4" t="s">
        <v>21</v>
      </c>
      <c r="I172">
        <v>0</v>
      </c>
      <c r="J172">
        <v>381</v>
      </c>
      <c r="K172">
        <v>411</v>
      </c>
      <c r="L172">
        <v>286.27301523481367</v>
      </c>
      <c r="M172">
        <v>5.6391550677465388E-2</v>
      </c>
      <c r="N172">
        <v>5</v>
      </c>
      <c r="O172">
        <v>0.92700729927007297</v>
      </c>
      <c r="P172">
        <v>-0.43888070692194403</v>
      </c>
      <c r="Q172" s="4">
        <f>(K172/J172)</f>
        <v>1.078740157480315</v>
      </c>
      <c r="R172">
        <v>9.1998833971176364E-2</v>
      </c>
      <c r="S172">
        <v>-0.41117478510028654</v>
      </c>
    </row>
    <row r="173" spans="1:19" x14ac:dyDescent="0.25">
      <c r="A173" t="s">
        <v>58</v>
      </c>
      <c r="B173">
        <v>2025</v>
      </c>
      <c r="C173">
        <v>1793.78</v>
      </c>
      <c r="D173">
        <v>1.9082522771435701E-2</v>
      </c>
      <c r="E173">
        <v>0.37</v>
      </c>
      <c r="G173">
        <v>1</v>
      </c>
      <c r="H173" s="4" t="s">
        <v>21</v>
      </c>
      <c r="I173">
        <v>0</v>
      </c>
      <c r="J173">
        <v>381</v>
      </c>
      <c r="K173">
        <v>539</v>
      </c>
      <c r="L173">
        <v>342.40812319732345</v>
      </c>
      <c r="M173">
        <v>5.8629407604062704E-2</v>
      </c>
      <c r="O173">
        <v>0.70686456400742115</v>
      </c>
      <c r="P173">
        <v>0</v>
      </c>
      <c r="Q173" s="4">
        <f>(K173/J173)</f>
        <v>1.4146981627296589</v>
      </c>
      <c r="R173">
        <v>3.6916337170506554E-2</v>
      </c>
      <c r="S173">
        <v>0.31143552311435524</v>
      </c>
    </row>
    <row r="174" spans="1:19" x14ac:dyDescent="0.25">
      <c r="A174" t="s">
        <v>75</v>
      </c>
      <c r="B174">
        <v>2022</v>
      </c>
      <c r="C174">
        <v>755.74</v>
      </c>
      <c r="D174">
        <v>0.25642410471541566</v>
      </c>
      <c r="E174">
        <v>3.61</v>
      </c>
      <c r="F174">
        <v>0.36031412892335968</v>
      </c>
      <c r="G174">
        <v>0</v>
      </c>
      <c r="H174" s="4" t="s">
        <v>101</v>
      </c>
      <c r="I174">
        <v>1</v>
      </c>
      <c r="J174">
        <v>2967</v>
      </c>
      <c r="K174">
        <v>102</v>
      </c>
      <c r="L174">
        <v>942.47962012811479</v>
      </c>
      <c r="M174" s="4">
        <v>0.39212201434415711</v>
      </c>
      <c r="N174">
        <v>1</v>
      </c>
      <c r="O174">
        <v>29.088235294117649</v>
      </c>
      <c r="P174">
        <v>66.431818181818187</v>
      </c>
      <c r="Q174" s="4">
        <f>(K174/J174)</f>
        <v>3.4378159757330634E-2</v>
      </c>
      <c r="R174">
        <v>6.4857598570555801</v>
      </c>
      <c r="S174">
        <v>-0.4925373134328358</v>
      </c>
    </row>
    <row r="175" spans="1:19" x14ac:dyDescent="0.25">
      <c r="A175" t="s">
        <v>75</v>
      </c>
      <c r="B175">
        <v>2023</v>
      </c>
      <c r="C175">
        <v>755.74</v>
      </c>
      <c r="D175">
        <v>0.36031412892335968</v>
      </c>
      <c r="E175">
        <v>1.75</v>
      </c>
      <c r="F175">
        <v>0.33956044597507218</v>
      </c>
      <c r="G175">
        <v>0</v>
      </c>
      <c r="H175" s="4" t="s">
        <v>101</v>
      </c>
      <c r="I175">
        <v>1</v>
      </c>
      <c r="J175">
        <v>4294</v>
      </c>
      <c r="K175" s="4">
        <v>29</v>
      </c>
      <c r="L175">
        <v>1717.2303640615478</v>
      </c>
      <c r="M175" s="4">
        <v>0.49086508875783064</v>
      </c>
      <c r="N175">
        <v>1</v>
      </c>
      <c r="O175">
        <v>148.06896551724137</v>
      </c>
      <c r="P175">
        <v>0.44725311762723291</v>
      </c>
      <c r="Q175" s="4">
        <f>(K175/J175)</f>
        <v>6.7536096879366554E-3</v>
      </c>
      <c r="R175">
        <v>0.40514921295423123</v>
      </c>
      <c r="S175">
        <v>-0.71568627450980393</v>
      </c>
    </row>
    <row r="176" spans="1:19" x14ac:dyDescent="0.25">
      <c r="A176" t="s">
        <v>75</v>
      </c>
      <c r="B176">
        <v>2024</v>
      </c>
      <c r="C176">
        <v>755.74</v>
      </c>
      <c r="D176">
        <v>0.33956044597507218</v>
      </c>
      <c r="E176">
        <v>1.41</v>
      </c>
      <c r="F176">
        <v>0.39561018358008804</v>
      </c>
      <c r="G176">
        <v>0</v>
      </c>
      <c r="H176" s="4" t="s">
        <v>101</v>
      </c>
      <c r="I176">
        <v>1</v>
      </c>
      <c r="J176">
        <v>5341</v>
      </c>
      <c r="K176">
        <v>29</v>
      </c>
      <c r="L176">
        <v>1729.8613505825074</v>
      </c>
      <c r="M176" s="4">
        <v>0.47643816008412043</v>
      </c>
      <c r="N176">
        <v>1</v>
      </c>
      <c r="O176">
        <v>184.17241379310346</v>
      </c>
      <c r="P176">
        <v>0.24382859804378201</v>
      </c>
      <c r="Q176" s="4">
        <f>(K176/J176)</f>
        <v>5.429694813705299E-3</v>
      </c>
      <c r="R176">
        <v>-5.7598859668092271E-2</v>
      </c>
      <c r="S176">
        <v>0</v>
      </c>
    </row>
    <row r="177" spans="1:19" x14ac:dyDescent="0.25">
      <c r="A177" t="s">
        <v>75</v>
      </c>
      <c r="B177">
        <v>2025</v>
      </c>
      <c r="C177">
        <v>755.74</v>
      </c>
      <c r="D177">
        <v>0.39561018358008804</v>
      </c>
      <c r="E177">
        <v>1.4</v>
      </c>
      <c r="G177">
        <v>0</v>
      </c>
      <c r="H177" s="4" t="s">
        <v>101</v>
      </c>
      <c r="I177">
        <v>1</v>
      </c>
      <c r="J177">
        <v>2264</v>
      </c>
      <c r="K177">
        <v>120</v>
      </c>
      <c r="L177">
        <v>2197.2528970081316</v>
      </c>
      <c r="M177" s="4">
        <v>0.62904276070443321</v>
      </c>
      <c r="O177">
        <v>18.866666666666667</v>
      </c>
      <c r="P177">
        <v>-0.57610934281969672</v>
      </c>
      <c r="Q177" s="4">
        <f>(K177/J177)</f>
        <v>5.3003533568904596E-2</v>
      </c>
      <c r="R177">
        <v>0.16506556717483692</v>
      </c>
      <c r="S177">
        <v>3.1379310344827585</v>
      </c>
    </row>
    <row r="178" spans="1:19" x14ac:dyDescent="0.25">
      <c r="A178" t="s">
        <v>60</v>
      </c>
      <c r="B178">
        <v>2022</v>
      </c>
      <c r="C178">
        <v>2500.54</v>
      </c>
      <c r="D178">
        <v>2.0117668908714935E-2</v>
      </c>
      <c r="E178">
        <v>1.77</v>
      </c>
      <c r="F178">
        <v>2.1518152555732178E-2</v>
      </c>
      <c r="G178">
        <v>1</v>
      </c>
      <c r="H178" s="4" t="s">
        <v>101</v>
      </c>
      <c r="I178">
        <v>1</v>
      </c>
      <c r="J178">
        <v>859</v>
      </c>
      <c r="K178">
        <v>1740</v>
      </c>
      <c r="L178" s="4">
        <v>942.57619376917364</v>
      </c>
      <c r="M178">
        <v>4.6604331010368656E-2</v>
      </c>
      <c r="N178">
        <v>7.45</v>
      </c>
      <c r="O178">
        <v>0.49367816091954025</v>
      </c>
      <c r="P178">
        <v>-3.0474040632054177E-2</v>
      </c>
      <c r="Q178" s="4">
        <f>(K178/J178)</f>
        <v>2.0256111757857975</v>
      </c>
      <c r="R178">
        <v>-1.344266256464011E-2</v>
      </c>
      <c r="S178">
        <v>1.7230046948356808</v>
      </c>
    </row>
    <row r="179" spans="1:19" x14ac:dyDescent="0.25">
      <c r="A179" t="s">
        <v>60</v>
      </c>
      <c r="B179">
        <v>2023</v>
      </c>
      <c r="C179">
        <v>2500.54</v>
      </c>
      <c r="D179">
        <v>2.1518152555732178E-2</v>
      </c>
      <c r="E179">
        <v>1.23</v>
      </c>
      <c r="F179">
        <v>2.4367191195539085E-2</v>
      </c>
      <c r="G179">
        <v>1</v>
      </c>
      <c r="H179" s="4" t="s">
        <v>101</v>
      </c>
      <c r="I179">
        <v>1</v>
      </c>
      <c r="J179">
        <v>469</v>
      </c>
      <c r="K179" s="4">
        <v>1320</v>
      </c>
      <c r="L179" s="4">
        <v>1075.4839963982181</v>
      </c>
      <c r="M179">
        <v>4.872568080986444E-2</v>
      </c>
      <c r="N179">
        <v>6.45</v>
      </c>
      <c r="O179">
        <v>0.35530303030303029</v>
      </c>
      <c r="P179">
        <v>-0.45401629802095461</v>
      </c>
      <c r="Q179" s="4">
        <f>(K179/J179)</f>
        <v>2.8144989339019189</v>
      </c>
      <c r="R179">
        <v>6.9614608599635322E-2</v>
      </c>
      <c r="S179">
        <v>-0.2413793103448276</v>
      </c>
    </row>
    <row r="180" spans="1:19" x14ac:dyDescent="0.25">
      <c r="A180" t="s">
        <v>60</v>
      </c>
      <c r="B180">
        <v>2024</v>
      </c>
      <c r="C180">
        <v>2500.54</v>
      </c>
      <c r="D180">
        <v>2.4367191195539085E-2</v>
      </c>
      <c r="E180">
        <v>1.52</v>
      </c>
      <c r="F180">
        <v>2.3532641541251779E-2</v>
      </c>
      <c r="G180">
        <v>1</v>
      </c>
      <c r="H180" s="4" t="s">
        <v>101</v>
      </c>
      <c r="I180">
        <v>1</v>
      </c>
      <c r="J180">
        <v>486</v>
      </c>
      <c r="K180">
        <v>884</v>
      </c>
      <c r="L180" s="4">
        <v>1303.1137621410014</v>
      </c>
      <c r="M180">
        <v>5.5968341029961365E-2</v>
      </c>
      <c r="N180">
        <v>7.45</v>
      </c>
      <c r="O180">
        <v>0.54977375565610864</v>
      </c>
      <c r="P180">
        <v>3.6247334754797439E-2</v>
      </c>
      <c r="Q180" s="4">
        <f>(K180/J180)</f>
        <v>1.8189300411522633</v>
      </c>
      <c r="R180">
        <v>0.13240163775342123</v>
      </c>
      <c r="S180">
        <v>-0.33030303030303032</v>
      </c>
    </row>
    <row r="181" spans="1:19" x14ac:dyDescent="0.25">
      <c r="A181" t="s">
        <v>60</v>
      </c>
      <c r="B181">
        <v>2025</v>
      </c>
      <c r="C181">
        <v>2500.54</v>
      </c>
      <c r="D181">
        <v>2.3532641541251779E-2</v>
      </c>
      <c r="E181">
        <v>1.69</v>
      </c>
      <c r="G181">
        <v>1</v>
      </c>
      <c r="H181" s="4" t="s">
        <v>101</v>
      </c>
      <c r="I181">
        <v>1</v>
      </c>
      <c r="J181">
        <v>609</v>
      </c>
      <c r="K181">
        <v>702</v>
      </c>
      <c r="L181" s="4">
        <v>1282.9590750840921</v>
      </c>
      <c r="M181">
        <v>5.4483092997775005E-2</v>
      </c>
      <c r="O181">
        <v>0.86752136752136755</v>
      </c>
      <c r="P181">
        <v>0.25308641975308643</v>
      </c>
      <c r="Q181" s="4">
        <f>(K181/J181)</f>
        <v>1.1527093596059113</v>
      </c>
      <c r="R181">
        <v>-3.4248906555963118E-2</v>
      </c>
      <c r="S181">
        <v>-0.20588235294117646</v>
      </c>
    </row>
  </sheetData>
  <autoFilter ref="A1:S181" xr:uid="{FCDE95D1-56D2-4368-94AC-64284E29076D}">
    <sortState xmlns:xlrd2="http://schemas.microsoft.com/office/spreadsheetml/2017/richdata2" ref="A2:S181">
      <sortCondition ref="A1:A14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0389-9BA7-475B-A9C8-F0A403663506}">
  <dimension ref="A1:K46"/>
  <sheetViews>
    <sheetView workbookViewId="0">
      <selection activeCell="D5" sqref="D5"/>
    </sheetView>
  </sheetViews>
  <sheetFormatPr defaultRowHeight="15" x14ac:dyDescent="0.25"/>
  <cols>
    <col min="1" max="1" width="22.5703125" bestFit="1" customWidth="1"/>
    <col min="3" max="4" width="17.7109375" bestFit="1" customWidth="1"/>
    <col min="5" max="5" width="19.85546875" bestFit="1" customWidth="1"/>
    <col min="11" max="11" width="9.140625" style="4"/>
  </cols>
  <sheetData>
    <row r="1" spans="1:5" x14ac:dyDescent="0.25">
      <c r="A1" t="s">
        <v>1</v>
      </c>
      <c r="B1" t="s">
        <v>110</v>
      </c>
      <c r="C1" t="s">
        <v>128</v>
      </c>
      <c r="D1" t="s">
        <v>127</v>
      </c>
      <c r="E1" t="s">
        <v>113</v>
      </c>
    </row>
    <row r="2" spans="1:5" x14ac:dyDescent="0.25">
      <c r="A2" t="s">
        <v>3</v>
      </c>
      <c r="B2">
        <v>2021</v>
      </c>
      <c r="C2">
        <v>1</v>
      </c>
      <c r="D2">
        <v>0</v>
      </c>
      <c r="E2">
        <v>1.2359966467366831E-2</v>
      </c>
    </row>
    <row r="3" spans="1:5" x14ac:dyDescent="0.25">
      <c r="A3" t="s">
        <v>77</v>
      </c>
      <c r="B3">
        <v>2021</v>
      </c>
      <c r="C3">
        <v>32</v>
      </c>
      <c r="D3">
        <v>0</v>
      </c>
      <c r="E3">
        <v>4.4651447590339614E-2</v>
      </c>
    </row>
    <row r="4" spans="1:5" x14ac:dyDescent="0.25">
      <c r="A4" t="s">
        <v>64</v>
      </c>
      <c r="B4">
        <v>2021</v>
      </c>
      <c r="C4">
        <v>34</v>
      </c>
      <c r="D4">
        <v>3</v>
      </c>
      <c r="E4">
        <v>8.7351548827075947E-3</v>
      </c>
    </row>
    <row r="5" spans="1:5" x14ac:dyDescent="0.25">
      <c r="A5" t="s">
        <v>78</v>
      </c>
      <c r="B5">
        <v>2021</v>
      </c>
      <c r="C5">
        <v>30</v>
      </c>
      <c r="D5">
        <v>0</v>
      </c>
      <c r="E5">
        <v>4.930517407127652E-2</v>
      </c>
    </row>
    <row r="6" spans="1:5" x14ac:dyDescent="0.25">
      <c r="A6" t="s">
        <v>72</v>
      </c>
      <c r="B6">
        <v>2021</v>
      </c>
      <c r="C6">
        <v>69</v>
      </c>
      <c r="D6">
        <v>111</v>
      </c>
      <c r="E6">
        <v>1.7458281163597659E-2</v>
      </c>
    </row>
    <row r="7" spans="1:5" x14ac:dyDescent="0.25">
      <c r="A7" t="s">
        <v>5</v>
      </c>
      <c r="B7">
        <v>2021</v>
      </c>
      <c r="C7">
        <v>255</v>
      </c>
      <c r="D7">
        <v>99</v>
      </c>
      <c r="E7">
        <v>1.0425904935349905E-2</v>
      </c>
    </row>
    <row r="8" spans="1:5" x14ac:dyDescent="0.25">
      <c r="A8" t="s">
        <v>70</v>
      </c>
      <c r="B8">
        <v>2021</v>
      </c>
      <c r="C8">
        <v>12</v>
      </c>
      <c r="D8">
        <v>2.11</v>
      </c>
      <c r="E8">
        <v>8.8613360049120335E-3</v>
      </c>
    </row>
    <row r="9" spans="1:5" x14ac:dyDescent="0.25">
      <c r="A9" t="s">
        <v>7</v>
      </c>
      <c r="B9">
        <v>2021</v>
      </c>
      <c r="C9">
        <v>1</v>
      </c>
      <c r="D9">
        <v>7</v>
      </c>
      <c r="E9">
        <v>1.5114311277671284E-2</v>
      </c>
    </row>
    <row r="10" spans="1:5" x14ac:dyDescent="0.25">
      <c r="A10" t="s">
        <v>9</v>
      </c>
      <c r="B10">
        <v>2021</v>
      </c>
      <c r="C10">
        <v>21</v>
      </c>
      <c r="D10">
        <v>3.8</v>
      </c>
      <c r="E10">
        <v>1.9716279073438581E-2</v>
      </c>
    </row>
    <row r="11" spans="1:5" x14ac:dyDescent="0.25">
      <c r="A11" t="s">
        <v>68</v>
      </c>
      <c r="B11">
        <v>2021</v>
      </c>
      <c r="C11">
        <v>12</v>
      </c>
      <c r="D11">
        <v>39.56</v>
      </c>
      <c r="E11">
        <v>1.7840810592351902E-2</v>
      </c>
    </row>
    <row r="12" spans="1:5" x14ac:dyDescent="0.25">
      <c r="A12" t="s">
        <v>11</v>
      </c>
      <c r="B12">
        <v>2021</v>
      </c>
      <c r="C12">
        <v>32</v>
      </c>
      <c r="D12">
        <v>6</v>
      </c>
      <c r="E12">
        <v>1.3466597862472465E-2</v>
      </c>
    </row>
    <row r="13" spans="1:5" x14ac:dyDescent="0.25">
      <c r="A13" t="s">
        <v>13</v>
      </c>
      <c r="B13">
        <v>2021</v>
      </c>
      <c r="C13">
        <v>264</v>
      </c>
      <c r="D13">
        <v>29</v>
      </c>
      <c r="E13">
        <v>1.2987707220301181E-2</v>
      </c>
    </row>
    <row r="14" spans="1:5" x14ac:dyDescent="0.25">
      <c r="A14" t="s">
        <v>15</v>
      </c>
      <c r="B14">
        <v>2021</v>
      </c>
      <c r="C14">
        <v>20</v>
      </c>
      <c r="D14">
        <v>7.86</v>
      </c>
      <c r="E14">
        <v>2.0125066209758947E-2</v>
      </c>
    </row>
    <row r="15" spans="1:5" x14ac:dyDescent="0.25">
      <c r="A15" t="s">
        <v>17</v>
      </c>
      <c r="B15">
        <v>2021</v>
      </c>
      <c r="C15">
        <v>20</v>
      </c>
      <c r="D15">
        <v>18</v>
      </c>
      <c r="E15">
        <v>1.3024392596999565E-2</v>
      </c>
    </row>
    <row r="16" spans="1:5" x14ac:dyDescent="0.25">
      <c r="A16" t="s">
        <v>19</v>
      </c>
      <c r="B16">
        <v>2021</v>
      </c>
      <c r="C16">
        <v>105</v>
      </c>
      <c r="D16">
        <v>3904</v>
      </c>
      <c r="E16">
        <v>1.9802222580793456E-2</v>
      </c>
    </row>
    <row r="17" spans="1:5" x14ac:dyDescent="0.25">
      <c r="A17" t="s">
        <v>76</v>
      </c>
      <c r="B17">
        <v>2021</v>
      </c>
      <c r="C17">
        <v>3.33</v>
      </c>
      <c r="D17">
        <v>7</v>
      </c>
      <c r="E17">
        <v>1.592406246130355E-2</v>
      </c>
    </row>
    <row r="18" spans="1:5" x14ac:dyDescent="0.25">
      <c r="A18" t="s">
        <v>21</v>
      </c>
      <c r="B18">
        <v>2021</v>
      </c>
      <c r="C18">
        <v>235</v>
      </c>
      <c r="D18">
        <v>852</v>
      </c>
      <c r="E18">
        <v>1.2977481709999621E-2</v>
      </c>
    </row>
    <row r="19" spans="1:5" x14ac:dyDescent="0.25">
      <c r="A19" t="s">
        <v>23</v>
      </c>
      <c r="B19">
        <v>2021</v>
      </c>
      <c r="C19">
        <v>231</v>
      </c>
      <c r="D19">
        <v>11.6</v>
      </c>
      <c r="E19">
        <v>3.8024736784176394E-2</v>
      </c>
    </row>
    <row r="20" spans="1:5" x14ac:dyDescent="0.25">
      <c r="A20" t="s">
        <v>25</v>
      </c>
      <c r="B20">
        <v>2021</v>
      </c>
      <c r="C20">
        <v>20</v>
      </c>
      <c r="D20">
        <v>2</v>
      </c>
      <c r="E20">
        <v>1.3151275585053588E-2</v>
      </c>
    </row>
    <row r="21" spans="1:5" x14ac:dyDescent="0.25">
      <c r="A21" t="s">
        <v>27</v>
      </c>
      <c r="B21">
        <v>2021</v>
      </c>
      <c r="C21">
        <v>0</v>
      </c>
      <c r="D21">
        <v>0</v>
      </c>
      <c r="E21">
        <v>0</v>
      </c>
    </row>
    <row r="22" spans="1:5" x14ac:dyDescent="0.25">
      <c r="A22" t="s">
        <v>66</v>
      </c>
      <c r="B22">
        <v>2021</v>
      </c>
      <c r="C22">
        <v>5</v>
      </c>
      <c r="D22">
        <v>13</v>
      </c>
      <c r="E22">
        <v>2.3904820110968368E-3</v>
      </c>
    </row>
    <row r="23" spans="1:5" x14ac:dyDescent="0.25">
      <c r="A23" t="s">
        <v>29</v>
      </c>
      <c r="B23">
        <v>2021</v>
      </c>
      <c r="C23">
        <v>211</v>
      </c>
      <c r="D23">
        <v>1627</v>
      </c>
      <c r="E23">
        <v>1.6080586704834945E-2</v>
      </c>
    </row>
    <row r="24" spans="1:5" x14ac:dyDescent="0.25">
      <c r="A24" t="s">
        <v>74</v>
      </c>
      <c r="B24">
        <v>2021</v>
      </c>
      <c r="C24">
        <v>9</v>
      </c>
      <c r="D24">
        <v>0</v>
      </c>
      <c r="E24">
        <v>8.4592987822118236E-3</v>
      </c>
    </row>
    <row r="25" spans="1:5" x14ac:dyDescent="0.25">
      <c r="A25" t="s">
        <v>31</v>
      </c>
      <c r="B25">
        <v>2021</v>
      </c>
      <c r="C25">
        <v>15</v>
      </c>
      <c r="D25">
        <v>10</v>
      </c>
      <c r="E25">
        <v>2.1557798750514941E-2</v>
      </c>
    </row>
    <row r="26" spans="1:5" x14ac:dyDescent="0.25">
      <c r="A26" t="s">
        <v>33</v>
      </c>
      <c r="B26">
        <v>2021</v>
      </c>
      <c r="C26">
        <v>109</v>
      </c>
      <c r="D26">
        <v>33.75</v>
      </c>
      <c r="E26">
        <v>1.9495529204279088E-2</v>
      </c>
    </row>
    <row r="27" spans="1:5" x14ac:dyDescent="0.25">
      <c r="A27" t="s">
        <v>35</v>
      </c>
      <c r="B27">
        <v>2021</v>
      </c>
      <c r="C27">
        <v>59</v>
      </c>
      <c r="D27">
        <v>0</v>
      </c>
      <c r="E27">
        <v>4.1308243157972416E-3</v>
      </c>
    </row>
    <row r="28" spans="1:5" x14ac:dyDescent="0.25">
      <c r="A28" t="s">
        <v>67</v>
      </c>
      <c r="B28">
        <v>2021</v>
      </c>
      <c r="C28">
        <v>32.67</v>
      </c>
      <c r="D28">
        <v>0</v>
      </c>
      <c r="E28">
        <v>4.4586429681600153E-3</v>
      </c>
    </row>
    <row r="29" spans="1:5" x14ac:dyDescent="0.25">
      <c r="A29" t="s">
        <v>71</v>
      </c>
      <c r="B29">
        <v>2021</v>
      </c>
      <c r="C29">
        <v>12.86</v>
      </c>
      <c r="D29">
        <v>0</v>
      </c>
      <c r="E29">
        <v>3.7058207298676948E-3</v>
      </c>
    </row>
    <row r="30" spans="1:5" x14ac:dyDescent="0.25">
      <c r="A30" t="s">
        <v>36</v>
      </c>
      <c r="B30">
        <v>2021</v>
      </c>
      <c r="C30">
        <v>1</v>
      </c>
      <c r="D30">
        <v>3.4</v>
      </c>
      <c r="E30">
        <v>1.5653527327734885E-2</v>
      </c>
    </row>
    <row r="31" spans="1:5" x14ac:dyDescent="0.25">
      <c r="A31" t="s">
        <v>38</v>
      </c>
      <c r="B31">
        <v>2021</v>
      </c>
      <c r="C31">
        <v>512</v>
      </c>
      <c r="D31">
        <v>357</v>
      </c>
      <c r="E31">
        <v>1.3653749088665807E-2</v>
      </c>
    </row>
    <row r="32" spans="1:5" x14ac:dyDescent="0.25">
      <c r="A32" t="s">
        <v>40</v>
      </c>
      <c r="B32">
        <v>2021</v>
      </c>
      <c r="C32">
        <v>0.92</v>
      </c>
      <c r="D32">
        <v>31</v>
      </c>
      <c r="E32">
        <v>1.4017515476571913E-2</v>
      </c>
    </row>
    <row r="33" spans="1:5" x14ac:dyDescent="0.25">
      <c r="A33" t="s">
        <v>42</v>
      </c>
      <c r="B33">
        <v>2021</v>
      </c>
      <c r="C33">
        <v>503</v>
      </c>
      <c r="D33">
        <v>102</v>
      </c>
      <c r="E33">
        <v>1.6763218469489919E-2</v>
      </c>
    </row>
    <row r="34" spans="1:5" x14ac:dyDescent="0.25">
      <c r="A34" t="s">
        <v>44</v>
      </c>
      <c r="B34">
        <v>2021</v>
      </c>
      <c r="C34">
        <v>68</v>
      </c>
      <c r="D34">
        <v>3</v>
      </c>
      <c r="E34">
        <v>2.2171632880183416E-2</v>
      </c>
    </row>
    <row r="35" spans="1:5" x14ac:dyDescent="0.25">
      <c r="A35" t="s">
        <v>46</v>
      </c>
      <c r="B35">
        <v>2021</v>
      </c>
      <c r="C35">
        <v>6</v>
      </c>
      <c r="D35">
        <v>11</v>
      </c>
      <c r="E35">
        <v>1.5157019894500879E-2</v>
      </c>
    </row>
    <row r="36" spans="1:5" x14ac:dyDescent="0.25">
      <c r="A36" t="s">
        <v>48</v>
      </c>
      <c r="B36">
        <v>2021</v>
      </c>
      <c r="C36">
        <v>105</v>
      </c>
      <c r="D36">
        <v>24.89</v>
      </c>
      <c r="E36">
        <v>1.8573957808642284E-2</v>
      </c>
    </row>
    <row r="37" spans="1:5" x14ac:dyDescent="0.25">
      <c r="A37" t="s">
        <v>73</v>
      </c>
      <c r="B37">
        <v>2021</v>
      </c>
      <c r="C37">
        <v>6</v>
      </c>
      <c r="D37">
        <v>2397</v>
      </c>
      <c r="E37">
        <v>3.6036875729172954E-2</v>
      </c>
    </row>
    <row r="38" spans="1:5" x14ac:dyDescent="0.25">
      <c r="A38" t="s">
        <v>69</v>
      </c>
      <c r="B38">
        <v>2021</v>
      </c>
      <c r="C38">
        <v>117</v>
      </c>
      <c r="D38">
        <v>3</v>
      </c>
      <c r="E38">
        <v>2.72904089938996E-2</v>
      </c>
    </row>
    <row r="39" spans="1:5" x14ac:dyDescent="0.25">
      <c r="A39" t="s">
        <v>50</v>
      </c>
      <c r="B39">
        <v>2021</v>
      </c>
      <c r="C39">
        <v>1</v>
      </c>
      <c r="D39">
        <v>41</v>
      </c>
      <c r="E39">
        <v>1.645939390434752E-2</v>
      </c>
    </row>
    <row r="40" spans="1:5" x14ac:dyDescent="0.25">
      <c r="A40" t="s">
        <v>52</v>
      </c>
      <c r="B40">
        <v>2021</v>
      </c>
      <c r="C40">
        <v>7</v>
      </c>
      <c r="D40">
        <v>33.33</v>
      </c>
      <c r="E40">
        <v>1.2396123239623736E-2</v>
      </c>
    </row>
    <row r="41" spans="1:5" x14ac:dyDescent="0.25">
      <c r="A41" t="s">
        <v>54</v>
      </c>
      <c r="B41">
        <v>2021</v>
      </c>
      <c r="C41">
        <v>134</v>
      </c>
      <c r="D41">
        <v>676</v>
      </c>
      <c r="E41">
        <v>1.366834915182351E-2</v>
      </c>
    </row>
    <row r="42" spans="1:5" x14ac:dyDescent="0.25">
      <c r="A42" t="s">
        <v>56</v>
      </c>
      <c r="B42">
        <v>2021</v>
      </c>
      <c r="C42">
        <v>110</v>
      </c>
      <c r="D42">
        <v>236</v>
      </c>
      <c r="E42">
        <v>1.2002746522548064E-2</v>
      </c>
    </row>
    <row r="43" spans="1:5" x14ac:dyDescent="0.25">
      <c r="A43" t="s">
        <v>65</v>
      </c>
      <c r="B43">
        <v>2021</v>
      </c>
      <c r="C43">
        <v>24.17</v>
      </c>
      <c r="D43">
        <v>107</v>
      </c>
      <c r="E43">
        <v>6.7289247365511992E-3</v>
      </c>
    </row>
    <row r="44" spans="1:5" x14ac:dyDescent="0.25">
      <c r="A44" t="s">
        <v>58</v>
      </c>
      <c r="B44">
        <v>2021</v>
      </c>
      <c r="C44">
        <v>249</v>
      </c>
      <c r="D44">
        <v>526</v>
      </c>
      <c r="E44">
        <v>1.8144583802015349E-2</v>
      </c>
    </row>
    <row r="45" spans="1:5" x14ac:dyDescent="0.25">
      <c r="A45" t="s">
        <v>75</v>
      </c>
      <c r="B45">
        <v>2021</v>
      </c>
      <c r="C45">
        <v>44</v>
      </c>
      <c r="D45">
        <v>201</v>
      </c>
      <c r="E45">
        <v>3.4254919956285712E-2</v>
      </c>
    </row>
    <row r="46" spans="1:5" x14ac:dyDescent="0.25">
      <c r="A46" t="s">
        <v>60</v>
      </c>
      <c r="B46">
        <v>2021</v>
      </c>
      <c r="C46">
        <v>886</v>
      </c>
      <c r="D46">
        <v>639</v>
      </c>
      <c r="E46">
        <v>2.0391788845251037E-2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GPR_Index</vt:lpstr>
      <vt:lpstr>%_GDP</vt:lpstr>
      <vt:lpstr>GPR_Index_Long</vt:lpstr>
      <vt:lpstr>long_data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Clayton</dc:creator>
  <cp:lastModifiedBy>Greenwell, Clayton</cp:lastModifiedBy>
  <dcterms:created xsi:type="dcterms:W3CDTF">2026-06-09T17:41:42Z</dcterms:created>
  <dcterms:modified xsi:type="dcterms:W3CDTF">2026-06-23T16:02:01Z</dcterms:modified>
</cp:coreProperties>
</file>