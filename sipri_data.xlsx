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iana-my.sharepoint.com/personal/claygree_iu_edu/Documents/Desktop/Luddy Stuff/Capstone/"/>
    </mc:Choice>
  </mc:AlternateContent>
  <xr:revisionPtr revIDLastSave="472" documentId="8_{9E038036-BA3F-4879-A4E2-71D72D096D3B}" xr6:coauthVersionLast="47" xr6:coauthVersionMax="47" xr10:uidLastSave="{52D7F7F8-9DCA-44E0-BC69-9B5CA0472FCE}"/>
  <bookViews>
    <workbookView xWindow="-120" yWindow="-120" windowWidth="29040" windowHeight="15720" activeTab="3" xr2:uid="{336C3657-218C-444C-9E72-EE3C63FFB85B}"/>
  </bookViews>
  <sheets>
    <sheet name="main" sheetId="2" r:id="rId1"/>
    <sheet name="GPR_Index" sheetId="3" r:id="rId2"/>
    <sheet name="%_GDP" sheetId="1" r:id="rId3"/>
    <sheet name="GPR_Index_Long" sheetId="4" r:id="rId4"/>
  </sheets>
  <definedNames>
    <definedName name="_xlnm._FilterDatabase" localSheetId="2" hidden="1">'%_GDP'!$A$1:$I$46</definedName>
    <definedName name="_xlnm._FilterDatabase" localSheetId="1" hidden="1">GPR_Index!$A$1:$G$46</definedName>
    <definedName name="_xlnm._FilterDatabase" localSheetId="3" hidden="1">GPR_Index_Long!$A$1:$D$73</definedName>
    <definedName name="_xlnm._FilterDatabase" localSheetId="0" hidden="1">main!$A$1:$H$46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3" l="1"/>
  <c r="F15" i="3"/>
  <c r="F16" i="3"/>
  <c r="F18" i="3"/>
  <c r="F20" i="3"/>
  <c r="F23" i="3"/>
  <c r="F31" i="3"/>
  <c r="F33" i="3"/>
  <c r="F34" i="3"/>
  <c r="F35" i="3"/>
  <c r="F37" i="3"/>
  <c r="F41" i="3"/>
  <c r="F42" i="3"/>
  <c r="F43" i="3"/>
  <c r="F44" i="3"/>
  <c r="F45" i="3"/>
  <c r="F46" i="3"/>
  <c r="F7" i="3"/>
  <c r="H38" i="1"/>
  <c r="H8" i="1"/>
  <c r="H29" i="1"/>
  <c r="H6" i="1"/>
  <c r="H37" i="1"/>
  <c r="H24" i="1"/>
  <c r="H45" i="1"/>
  <c r="H17" i="1"/>
  <c r="H3" i="1"/>
  <c r="H5" i="1"/>
  <c r="H43" i="1"/>
  <c r="H22" i="1"/>
  <c r="H28" i="1"/>
  <c r="H11" i="1"/>
  <c r="H4" i="1"/>
  <c r="H12" i="1"/>
  <c r="H2" i="1"/>
  <c r="H7" i="1"/>
  <c r="H9" i="1"/>
  <c r="H10" i="1"/>
  <c r="H13" i="1"/>
  <c r="H14" i="1"/>
  <c r="H15" i="1"/>
  <c r="H16" i="1"/>
  <c r="H18" i="1"/>
  <c r="H19" i="1"/>
  <c r="H20" i="1"/>
  <c r="H21" i="1"/>
  <c r="H23" i="1"/>
  <c r="H25" i="1"/>
  <c r="H26" i="1"/>
  <c r="H27" i="1"/>
  <c r="H30" i="1"/>
  <c r="H31" i="1"/>
  <c r="H32" i="1"/>
  <c r="H33" i="1"/>
  <c r="H34" i="1"/>
  <c r="H35" i="1"/>
  <c r="H36" i="1"/>
  <c r="H39" i="1"/>
  <c r="H40" i="1"/>
  <c r="H41" i="1"/>
  <c r="H42" i="1"/>
  <c r="H44" i="1"/>
  <c r="H46" i="1"/>
</calcChain>
</file>

<file path=xl/sharedStrings.xml><?xml version="1.0" encoding="utf-8"?>
<sst xmlns="http://schemas.openxmlformats.org/spreadsheetml/2006/main" count="317" uniqueCount="112">
  <si>
    <t>capital</t>
  </si>
  <si>
    <t>country</t>
  </si>
  <si>
    <t>aerial_distance_moscow</t>
  </si>
  <si>
    <t>Albania</t>
  </si>
  <si>
    <t>Tirana</t>
  </si>
  <si>
    <t>Belgium</t>
  </si>
  <si>
    <t>Brussels</t>
  </si>
  <si>
    <t>Bulgaria</t>
  </si>
  <si>
    <t>Sofia</t>
  </si>
  <si>
    <t>Croatia</t>
  </si>
  <si>
    <t>Zagreb</t>
  </si>
  <si>
    <t>Czech Republic</t>
  </si>
  <si>
    <t>Prague</t>
  </si>
  <si>
    <t>Denmark</t>
  </si>
  <si>
    <t>Copenhagen</t>
  </si>
  <si>
    <t>Estonia</t>
  </si>
  <si>
    <t>Tallinn</t>
  </si>
  <si>
    <t>Finland</t>
  </si>
  <si>
    <t>Helsinki</t>
  </si>
  <si>
    <t>France</t>
  </si>
  <si>
    <t>Paris</t>
  </si>
  <si>
    <t>Germany</t>
  </si>
  <si>
    <t>Berlin</t>
  </si>
  <si>
    <t>Greece</t>
  </si>
  <si>
    <t>Athens</t>
  </si>
  <si>
    <t>Hungary</t>
  </si>
  <si>
    <t>Budapest</t>
  </si>
  <si>
    <t>Iceland</t>
  </si>
  <si>
    <t>Reykjavík</t>
  </si>
  <si>
    <t>Italy</t>
  </si>
  <si>
    <t>Rome</t>
  </si>
  <si>
    <t>Latvia</t>
  </si>
  <si>
    <t>Riga</t>
  </si>
  <si>
    <t>Lithuania</t>
  </si>
  <si>
    <t>Vilnius</t>
  </si>
  <si>
    <t>Luxembourg</t>
  </si>
  <si>
    <t>Montenegro</t>
  </si>
  <si>
    <t>Podgorica</t>
  </si>
  <si>
    <t>Netherlands</t>
  </si>
  <si>
    <t>Amsterdam</t>
  </si>
  <si>
    <t>North Macedonia</t>
  </si>
  <si>
    <t>Skopje</t>
  </si>
  <si>
    <t>Norway</t>
  </si>
  <si>
    <t>Oslo</t>
  </si>
  <si>
    <t>Poland</t>
  </si>
  <si>
    <t>Warsaw</t>
  </si>
  <si>
    <t>Portugal</t>
  </si>
  <si>
    <t>Lisbon</t>
  </si>
  <si>
    <t>Romania</t>
  </si>
  <si>
    <t>Bucharest</t>
  </si>
  <si>
    <t>Slovakia</t>
  </si>
  <si>
    <t>Bratislava</t>
  </si>
  <si>
    <t>Slovenia</t>
  </si>
  <si>
    <t>Ljubljana</t>
  </si>
  <si>
    <t>Spain</t>
  </si>
  <si>
    <t>Madrid</t>
  </si>
  <si>
    <t>Sweden</t>
  </si>
  <si>
    <t>Stockholm</t>
  </si>
  <si>
    <t>Turkey</t>
  </si>
  <si>
    <t>Ankara</t>
  </si>
  <si>
    <t>United Kingdom</t>
  </si>
  <si>
    <t>London</t>
  </si>
  <si>
    <t>Average</t>
  </si>
  <si>
    <t>Is in NATO?</t>
  </si>
  <si>
    <t>Austria</t>
  </si>
  <si>
    <t>Switzerland</t>
  </si>
  <si>
    <t>Ireland</t>
  </si>
  <si>
    <t>Malta</t>
  </si>
  <si>
    <t>Cyprus</t>
  </si>
  <si>
    <t>Serbia</t>
  </si>
  <si>
    <t>Bosnia and Herzegovina</t>
  </si>
  <si>
    <t>Moldova</t>
  </si>
  <si>
    <t>Belarus</t>
  </si>
  <si>
    <t>Russia</t>
  </si>
  <si>
    <t>Kosovo</t>
  </si>
  <si>
    <t>Ukraine</t>
  </si>
  <si>
    <t>Georgia</t>
  </si>
  <si>
    <t>Armenia</t>
  </si>
  <si>
    <t>Azerbaijan</t>
  </si>
  <si>
    <t>Vienna</t>
  </si>
  <si>
    <t>Bern</t>
  </si>
  <si>
    <t>Dublin</t>
  </si>
  <si>
    <t>Valletta</t>
  </si>
  <si>
    <t>Nicosia</t>
  </si>
  <si>
    <t>Belgrade</t>
  </si>
  <si>
    <t>Sarajevo</t>
  </si>
  <si>
    <t>Chișinău</t>
  </si>
  <si>
    <t>Minsk</t>
  </si>
  <si>
    <t>Moscow</t>
  </si>
  <si>
    <t>Pristina</t>
  </si>
  <si>
    <t>Kyiv</t>
  </si>
  <si>
    <t>Tbilisi</t>
  </si>
  <si>
    <t>Yerevan</t>
  </si>
  <si>
    <t>Baku</t>
  </si>
  <si>
    <t>is_in_nato?</t>
  </si>
  <si>
    <t>aerial_distance_moscow_km</t>
  </si>
  <si>
    <t>number_of_companies_in_sipri_top_100_2024</t>
  </si>
  <si>
    <t>average</t>
  </si>
  <si>
    <t>avg_%_gdp</t>
  </si>
  <si>
    <t>avg_gpr_index</t>
  </si>
  <si>
    <t>South Korea</t>
  </si>
  <si>
    <t>United States</t>
  </si>
  <si>
    <t>Iran</t>
  </si>
  <si>
    <t>China</t>
  </si>
  <si>
    <t>Brazil</t>
  </si>
  <si>
    <t>No imports</t>
  </si>
  <si>
    <t>Israel</t>
  </si>
  <si>
    <t>India</t>
  </si>
  <si>
    <t>is_US_top_supplier_country?</t>
  </si>
  <si>
    <t>top_supplier_country</t>
  </si>
  <si>
    <t>year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</si>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</sst>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D444-325E-4100-A8BC-8800DEF7DB2B}">
  <dimension ref="A1:H46"/>
  <sheetViews>
    <sheetView workbookViewId="0">
      <selection activeCell="A7" sqref="A7:XFD7"/>
    </sheetView>
  </sheetViews>
  <sheetFormatPr defaultRowHeight="15" x14ac:dyDescent="0.25"/>
  <cols>
    <col min="1" max="1" width="22.5703125" bestFit="1" customWidth="1"/>
    <col min="2" max="2" width="11" bestFit="1" customWidth="1"/>
    <col min="3" max="3" width="27" bestFit="1" customWidth="1"/>
    <col min="4" max="4" width="14.5703125" bestFit="1" customWidth="1"/>
    <col min="5" max="5" width="42.140625" bestFit="1" customWidth="1"/>
    <col min="6" max="6" width="13.42578125" bestFit="1" customWidth="1"/>
    <col min="7" max="7" width="19.42578125" bestFit="1" customWidth="1"/>
    <col min="8" max="8" width="26.5703125" bestFit="1" customWidth="1"/>
  </cols>
  <sheetData>
    <row r="1" spans="1:8" x14ac:dyDescent="0.25">
      <c r="A1" t="s">
        <v>1</v>
      </c>
      <c r="B1" t="s">
        <v>94</v>
      </c>
      <c r="C1" t="s">
        <v>95</v>
      </c>
      <c r="D1" t="s">
        <v>98</v>
      </c>
      <c r="E1" t="s">
        <v>96</v>
      </c>
      <c r="F1" t="s">
        <v>99</v>
      </c>
      <c r="G1" t="s">
        <v>109</v>
      </c>
      <c r="H1" t="s">
        <v>108</v>
      </c>
    </row>
    <row r="2" spans="1:8" x14ac:dyDescent="0.25">
      <c r="A2" t="s">
        <v>3</v>
      </c>
      <c r="B2">
        <v>1</v>
      </c>
      <c r="C2">
        <v>2058.9</v>
      </c>
      <c r="D2">
        <v>1.7292818865948991E-2</v>
      </c>
      <c r="E2">
        <v>0</v>
      </c>
      <c r="G2" t="s">
        <v>29</v>
      </c>
      <c r="H2">
        <v>0</v>
      </c>
    </row>
    <row r="3" spans="1:8" x14ac:dyDescent="0.25">
      <c r="A3" t="s">
        <v>77</v>
      </c>
      <c r="B3">
        <v>0</v>
      </c>
      <c r="C3">
        <v>1804.07</v>
      </c>
      <c r="D3">
        <v>5.2864632225368961E-2</v>
      </c>
      <c r="E3">
        <v>0</v>
      </c>
      <c r="G3" t="s">
        <v>107</v>
      </c>
      <c r="H3">
        <v>0</v>
      </c>
    </row>
    <row r="4" spans="1:8" x14ac:dyDescent="0.25">
      <c r="A4" t="s">
        <v>64</v>
      </c>
      <c r="B4">
        <v>0</v>
      </c>
      <c r="C4">
        <v>1669.7</v>
      </c>
      <c r="D4">
        <v>9.2948353178907983E-3</v>
      </c>
      <c r="E4">
        <v>0</v>
      </c>
      <c r="G4" t="s">
        <v>29</v>
      </c>
      <c r="H4">
        <v>0</v>
      </c>
    </row>
    <row r="5" spans="1:8" x14ac:dyDescent="0.25">
      <c r="A5" t="s">
        <v>78</v>
      </c>
      <c r="B5">
        <v>0</v>
      </c>
      <c r="C5">
        <v>1927.38</v>
      </c>
      <c r="D5">
        <v>5.065213694914359E-2</v>
      </c>
      <c r="E5">
        <v>0</v>
      </c>
      <c r="G5" t="s">
        <v>103</v>
      </c>
      <c r="H5">
        <v>0</v>
      </c>
    </row>
    <row r="6" spans="1:8" x14ac:dyDescent="0.25">
      <c r="A6" t="s">
        <v>72</v>
      </c>
      <c r="B6">
        <v>0</v>
      </c>
      <c r="C6">
        <v>675.76</v>
      </c>
      <c r="D6">
        <v>1.9833962408992541E-2</v>
      </c>
      <c r="E6">
        <v>0</v>
      </c>
      <c r="G6" t="s">
        <v>73</v>
      </c>
      <c r="H6">
        <v>0</v>
      </c>
    </row>
    <row r="7" spans="1:8" x14ac:dyDescent="0.25">
      <c r="A7" t="s">
        <v>5</v>
      </c>
      <c r="B7">
        <v>1</v>
      </c>
      <c r="C7">
        <v>2252.9899999999998</v>
      </c>
      <c r="D7">
        <v>1.4060829859502343E-2</v>
      </c>
      <c r="E7">
        <v>0</v>
      </c>
      <c r="F7">
        <v>0.28999999999999998</v>
      </c>
      <c r="G7" t="s">
        <v>101</v>
      </c>
      <c r="H7">
        <v>1</v>
      </c>
    </row>
    <row r="8" spans="1:8" x14ac:dyDescent="0.25">
      <c r="A8" t="s">
        <v>70</v>
      </c>
      <c r="B8">
        <v>0</v>
      </c>
      <c r="C8">
        <v>1898.45</v>
      </c>
      <c r="D8">
        <v>7.57086695048673E-3</v>
      </c>
      <c r="E8">
        <v>0</v>
      </c>
      <c r="G8" t="s">
        <v>58</v>
      </c>
      <c r="H8">
        <v>0</v>
      </c>
    </row>
    <row r="9" spans="1:8" x14ac:dyDescent="0.25">
      <c r="A9" t="s">
        <v>7</v>
      </c>
      <c r="B9">
        <v>1</v>
      </c>
      <c r="C9">
        <v>1777.41</v>
      </c>
      <c r="D9">
        <v>1.8690960094068693E-2</v>
      </c>
      <c r="E9">
        <v>0</v>
      </c>
      <c r="G9" t="s">
        <v>101</v>
      </c>
      <c r="H9">
        <v>1</v>
      </c>
    </row>
    <row r="10" spans="1:8" x14ac:dyDescent="0.25">
      <c r="A10" t="s">
        <v>9</v>
      </c>
      <c r="B10">
        <v>1</v>
      </c>
      <c r="C10">
        <v>1867.28</v>
      </c>
      <c r="D10">
        <v>1.8326828707174208E-2</v>
      </c>
      <c r="E10">
        <v>0</v>
      </c>
      <c r="G10" t="s">
        <v>19</v>
      </c>
      <c r="H10">
        <v>0</v>
      </c>
    </row>
    <row r="11" spans="1:8" x14ac:dyDescent="0.25">
      <c r="A11" t="s">
        <v>68</v>
      </c>
      <c r="B11">
        <v>0</v>
      </c>
      <c r="C11">
        <v>2309.9699999999998</v>
      </c>
      <c r="D11">
        <v>1.6231335137865305E-2</v>
      </c>
      <c r="E11">
        <v>0</v>
      </c>
      <c r="G11" t="s">
        <v>106</v>
      </c>
      <c r="H11">
        <v>0</v>
      </c>
    </row>
    <row r="12" spans="1:8" x14ac:dyDescent="0.25">
      <c r="A12" t="s">
        <v>11</v>
      </c>
      <c r="B12">
        <v>1</v>
      </c>
      <c r="C12">
        <v>1667.65</v>
      </c>
      <c r="D12">
        <v>1.5786817637843103E-2</v>
      </c>
      <c r="E12">
        <v>1</v>
      </c>
      <c r="G12" t="s">
        <v>101</v>
      </c>
      <c r="H12">
        <v>1</v>
      </c>
    </row>
    <row r="13" spans="1:8" x14ac:dyDescent="0.25">
      <c r="A13" t="s">
        <v>13</v>
      </c>
      <c r="B13">
        <v>1</v>
      </c>
      <c r="C13">
        <v>1560.42</v>
      </c>
      <c r="D13">
        <v>2.2253807701946227E-2</v>
      </c>
      <c r="E13">
        <v>0</v>
      </c>
      <c r="F13">
        <v>8.7499999999999994E-2</v>
      </c>
      <c r="G13" t="s">
        <v>101</v>
      </c>
      <c r="H13">
        <v>1</v>
      </c>
    </row>
    <row r="14" spans="1:8" x14ac:dyDescent="0.25">
      <c r="A14" t="s">
        <v>15</v>
      </c>
      <c r="B14">
        <v>1</v>
      </c>
      <c r="C14">
        <v>866.96</v>
      </c>
      <c r="D14">
        <v>2.9507424661505816E-2</v>
      </c>
      <c r="E14">
        <v>0</v>
      </c>
      <c r="G14" t="s">
        <v>101</v>
      </c>
      <c r="H14">
        <v>1</v>
      </c>
    </row>
    <row r="15" spans="1:8" x14ac:dyDescent="0.25">
      <c r="A15" t="s">
        <v>17</v>
      </c>
      <c r="B15">
        <v>1</v>
      </c>
      <c r="C15">
        <v>892.29</v>
      </c>
      <c r="D15">
        <v>2.0867072330396929E-2</v>
      </c>
      <c r="E15">
        <v>0</v>
      </c>
      <c r="F15">
        <v>0.13250000000000001</v>
      </c>
      <c r="G15" t="s">
        <v>106</v>
      </c>
      <c r="H15">
        <v>0</v>
      </c>
    </row>
    <row r="16" spans="1:8" x14ac:dyDescent="0.25">
      <c r="A16" t="s">
        <v>19</v>
      </c>
      <c r="B16">
        <v>1</v>
      </c>
      <c r="C16">
        <v>2486.25</v>
      </c>
      <c r="D16">
        <v>1.9862906641928163E-2</v>
      </c>
      <c r="E16">
        <v>5</v>
      </c>
      <c r="F16">
        <v>0.76249999999999996</v>
      </c>
      <c r="G16" t="s">
        <v>29</v>
      </c>
      <c r="H16">
        <v>0</v>
      </c>
    </row>
    <row r="17" spans="1:8" x14ac:dyDescent="0.25">
      <c r="A17" t="s">
        <v>76</v>
      </c>
      <c r="B17">
        <v>0</v>
      </c>
      <c r="C17">
        <v>1646.21</v>
      </c>
      <c r="D17">
        <v>1.6480975581550702E-2</v>
      </c>
      <c r="E17">
        <v>0</v>
      </c>
      <c r="G17" t="s">
        <v>58</v>
      </c>
      <c r="H17">
        <v>0</v>
      </c>
    </row>
    <row r="18" spans="1:8" x14ac:dyDescent="0.25">
      <c r="A18" t="s">
        <v>21</v>
      </c>
      <c r="B18">
        <v>1</v>
      </c>
      <c r="C18">
        <v>1608.83</v>
      </c>
      <c r="D18">
        <v>1.7366088539104971E-2</v>
      </c>
      <c r="E18">
        <v>5</v>
      </c>
      <c r="F18">
        <v>0.79499999999999993</v>
      </c>
      <c r="G18" t="s">
        <v>106</v>
      </c>
      <c r="H18">
        <v>0</v>
      </c>
    </row>
    <row r="19" spans="1:8" x14ac:dyDescent="0.25">
      <c r="A19" t="s">
        <v>23</v>
      </c>
      <c r="B19">
        <v>1</v>
      </c>
      <c r="C19">
        <v>2231.02</v>
      </c>
      <c r="D19">
        <v>3.1949905144417076E-2</v>
      </c>
      <c r="E19">
        <v>0</v>
      </c>
      <c r="G19" t="s">
        <v>19</v>
      </c>
      <c r="H19">
        <v>0</v>
      </c>
    </row>
    <row r="20" spans="1:8" x14ac:dyDescent="0.25">
      <c r="A20" t="s">
        <v>25</v>
      </c>
      <c r="B20">
        <v>1</v>
      </c>
      <c r="C20">
        <v>1569.15</v>
      </c>
      <c r="D20">
        <v>2.0111882193981266E-2</v>
      </c>
      <c r="E20">
        <v>0</v>
      </c>
      <c r="F20">
        <v>0.13</v>
      </c>
      <c r="G20" t="s">
        <v>21</v>
      </c>
      <c r="H20">
        <v>0</v>
      </c>
    </row>
    <row r="21" spans="1:8" x14ac:dyDescent="0.25">
      <c r="A21" t="s">
        <v>27</v>
      </c>
      <c r="B21">
        <v>1</v>
      </c>
      <c r="C21">
        <v>3307.63</v>
      </c>
      <c r="D21">
        <v>0</v>
      </c>
      <c r="E21">
        <v>0</v>
      </c>
      <c r="G21" t="s">
        <v>105</v>
      </c>
    </row>
    <row r="22" spans="1:8" x14ac:dyDescent="0.25">
      <c r="A22" t="s">
        <v>66</v>
      </c>
      <c r="B22">
        <v>0</v>
      </c>
      <c r="C22">
        <v>2794.41</v>
      </c>
      <c r="D22">
        <v>2.1861999968685259E-3</v>
      </c>
      <c r="E22">
        <v>0</v>
      </c>
      <c r="G22" t="s">
        <v>54</v>
      </c>
      <c r="H22">
        <v>0</v>
      </c>
    </row>
    <row r="23" spans="1:8" x14ac:dyDescent="0.25">
      <c r="A23" t="s">
        <v>29</v>
      </c>
      <c r="B23">
        <v>1</v>
      </c>
      <c r="C23">
        <v>2375.33</v>
      </c>
      <c r="D23">
        <v>1.6535874377356888E-2</v>
      </c>
      <c r="E23">
        <v>2.25</v>
      </c>
      <c r="F23">
        <v>0.24249999999999999</v>
      </c>
      <c r="G23" t="s">
        <v>101</v>
      </c>
      <c r="H23">
        <v>1</v>
      </c>
    </row>
    <row r="24" spans="1:8" x14ac:dyDescent="0.25">
      <c r="A24" t="s">
        <v>74</v>
      </c>
      <c r="B24">
        <v>0</v>
      </c>
      <c r="C24">
        <v>1873.73</v>
      </c>
      <c r="D24">
        <v>1.4387645918452409E-2</v>
      </c>
      <c r="E24">
        <v>0</v>
      </c>
      <c r="G24" t="s">
        <v>58</v>
      </c>
      <c r="H24">
        <v>0</v>
      </c>
    </row>
    <row r="25" spans="1:8" x14ac:dyDescent="0.25">
      <c r="A25" t="s">
        <v>31</v>
      </c>
      <c r="B25">
        <v>1</v>
      </c>
      <c r="C25">
        <v>841.57</v>
      </c>
      <c r="D25">
        <v>3.0233651490707884E-2</v>
      </c>
      <c r="E25">
        <v>0</v>
      </c>
      <c r="G25" t="s">
        <v>17</v>
      </c>
      <c r="H25">
        <v>0</v>
      </c>
    </row>
    <row r="26" spans="1:8" x14ac:dyDescent="0.25">
      <c r="A26" t="s">
        <v>33</v>
      </c>
      <c r="B26">
        <v>1</v>
      </c>
      <c r="C26">
        <v>790.41</v>
      </c>
      <c r="D26">
        <v>2.9048132324416526E-2</v>
      </c>
      <c r="E26">
        <v>0</v>
      </c>
      <c r="G26" t="s">
        <v>101</v>
      </c>
      <c r="H26">
        <v>1</v>
      </c>
    </row>
    <row r="27" spans="1:8" x14ac:dyDescent="0.25">
      <c r="A27" t="s">
        <v>35</v>
      </c>
      <c r="B27">
        <v>1</v>
      </c>
      <c r="C27">
        <v>2207.44</v>
      </c>
      <c r="D27">
        <v>6.9029817986096288E-3</v>
      </c>
      <c r="E27">
        <v>0</v>
      </c>
      <c r="G27" t="s">
        <v>65</v>
      </c>
      <c r="H27">
        <v>0</v>
      </c>
    </row>
    <row r="28" spans="1:8" x14ac:dyDescent="0.25">
      <c r="A28" t="s">
        <v>67</v>
      </c>
      <c r="B28">
        <v>0</v>
      </c>
      <c r="C28">
        <v>2814.65</v>
      </c>
      <c r="D28">
        <v>4.0495580689334267E-3</v>
      </c>
      <c r="E28">
        <v>0</v>
      </c>
      <c r="G28" t="s">
        <v>29</v>
      </c>
      <c r="H28">
        <v>0</v>
      </c>
    </row>
    <row r="29" spans="1:8" x14ac:dyDescent="0.25">
      <c r="A29" t="s">
        <v>71</v>
      </c>
      <c r="B29">
        <v>0</v>
      </c>
      <c r="C29">
        <v>1144.6099999999999</v>
      </c>
      <c r="D29">
        <v>5.2157281527898062E-3</v>
      </c>
      <c r="E29">
        <v>0</v>
      </c>
      <c r="G29" t="s">
        <v>19</v>
      </c>
      <c r="H29">
        <v>0</v>
      </c>
    </row>
    <row r="30" spans="1:8" x14ac:dyDescent="0.25">
      <c r="A30" t="s">
        <v>36</v>
      </c>
      <c r="B30">
        <v>1</v>
      </c>
      <c r="C30">
        <v>1983.23</v>
      </c>
      <c r="D30">
        <v>1.6920362946973945E-2</v>
      </c>
      <c r="E30">
        <v>0</v>
      </c>
      <c r="G30" t="s">
        <v>101</v>
      </c>
      <c r="H30">
        <v>1</v>
      </c>
    </row>
    <row r="31" spans="1:8" x14ac:dyDescent="0.25">
      <c r="A31" t="s">
        <v>38</v>
      </c>
      <c r="B31">
        <v>1</v>
      </c>
      <c r="C31">
        <v>2146.98</v>
      </c>
      <c r="D31">
        <v>1.7202016024594664E-2</v>
      </c>
      <c r="E31">
        <v>0</v>
      </c>
      <c r="F31">
        <v>0.13750000000000001</v>
      </c>
      <c r="G31" t="s">
        <v>101</v>
      </c>
      <c r="H31">
        <v>1</v>
      </c>
    </row>
    <row r="32" spans="1:8" x14ac:dyDescent="0.25">
      <c r="A32" t="s">
        <v>40</v>
      </c>
      <c r="B32">
        <v>1</v>
      </c>
      <c r="C32">
        <v>1924.4</v>
      </c>
      <c r="D32">
        <v>1.7472330950349616E-2</v>
      </c>
      <c r="E32">
        <v>0</v>
      </c>
      <c r="G32" t="s">
        <v>101</v>
      </c>
      <c r="H32">
        <v>1</v>
      </c>
    </row>
    <row r="33" spans="1:8" x14ac:dyDescent="0.25">
      <c r="A33" t="s">
        <v>42</v>
      </c>
      <c r="B33">
        <v>1</v>
      </c>
      <c r="C33">
        <v>1643.22</v>
      </c>
      <c r="D33">
        <v>2.1975496482732317E-2</v>
      </c>
      <c r="E33">
        <v>1</v>
      </c>
      <c r="F33">
        <v>0.1225</v>
      </c>
      <c r="G33" t="s">
        <v>101</v>
      </c>
      <c r="H33">
        <v>1</v>
      </c>
    </row>
    <row r="34" spans="1:8" x14ac:dyDescent="0.25">
      <c r="A34" t="s">
        <v>44</v>
      </c>
      <c r="B34">
        <v>1</v>
      </c>
      <c r="C34">
        <v>1150.7</v>
      </c>
      <c r="D34">
        <v>3.4282413366139394E-2</v>
      </c>
      <c r="E34">
        <v>1</v>
      </c>
      <c r="F34">
        <v>0.32250000000000001</v>
      </c>
      <c r="G34" t="s">
        <v>100</v>
      </c>
      <c r="H34">
        <v>0</v>
      </c>
    </row>
    <row r="35" spans="1:8" x14ac:dyDescent="0.25">
      <c r="A35" t="s">
        <v>46</v>
      </c>
      <c r="B35">
        <v>1</v>
      </c>
      <c r="C35">
        <v>3905.89</v>
      </c>
      <c r="D35">
        <v>1.4303777051986044E-2</v>
      </c>
      <c r="E35">
        <v>0</v>
      </c>
      <c r="F35">
        <v>2.5000000000000001E-2</v>
      </c>
      <c r="G35" t="s">
        <v>104</v>
      </c>
      <c r="H35">
        <v>0</v>
      </c>
    </row>
    <row r="36" spans="1:8" x14ac:dyDescent="0.25">
      <c r="A36" t="s">
        <v>48</v>
      </c>
      <c r="B36">
        <v>1</v>
      </c>
      <c r="C36">
        <v>1499.57</v>
      </c>
      <c r="D36">
        <v>1.9571222047149492E-2</v>
      </c>
      <c r="E36">
        <v>0</v>
      </c>
      <c r="G36" t="s">
        <v>101</v>
      </c>
      <c r="H36">
        <v>1</v>
      </c>
    </row>
    <row r="37" spans="1:8" x14ac:dyDescent="0.25">
      <c r="A37" t="s">
        <v>73</v>
      </c>
      <c r="B37">
        <v>0</v>
      </c>
      <c r="C37">
        <v>0</v>
      </c>
      <c r="D37">
        <v>6.0507986472298977E-2</v>
      </c>
      <c r="E37">
        <v>2</v>
      </c>
      <c r="F37">
        <v>2.2149999999999999</v>
      </c>
      <c r="G37" t="s">
        <v>102</v>
      </c>
      <c r="H37">
        <v>0</v>
      </c>
    </row>
    <row r="38" spans="1:8" x14ac:dyDescent="0.25">
      <c r="A38" t="s">
        <v>69</v>
      </c>
      <c r="B38">
        <v>0</v>
      </c>
      <c r="C38">
        <v>1716.28</v>
      </c>
      <c r="D38">
        <v>2.4509250711063104E-2</v>
      </c>
      <c r="E38">
        <v>0</v>
      </c>
      <c r="G38" t="s">
        <v>103</v>
      </c>
      <c r="H38">
        <v>0</v>
      </c>
    </row>
    <row r="39" spans="1:8" x14ac:dyDescent="0.25">
      <c r="A39" t="s">
        <v>50</v>
      </c>
      <c r="B39">
        <v>1</v>
      </c>
      <c r="C39">
        <v>1631.23</v>
      </c>
      <c r="D39">
        <v>1.8823649952063704E-2</v>
      </c>
      <c r="E39">
        <v>0</v>
      </c>
      <c r="G39" t="s">
        <v>101</v>
      </c>
      <c r="H39">
        <v>1</v>
      </c>
    </row>
    <row r="40" spans="1:8" x14ac:dyDescent="0.25">
      <c r="A40" t="s">
        <v>52</v>
      </c>
      <c r="B40">
        <v>1</v>
      </c>
      <c r="C40">
        <v>1932.1</v>
      </c>
      <c r="D40">
        <v>1.3745722508088129E-2</v>
      </c>
      <c r="E40">
        <v>0</v>
      </c>
      <c r="G40" t="s">
        <v>29</v>
      </c>
      <c r="H40">
        <v>0</v>
      </c>
    </row>
    <row r="41" spans="1:8" x14ac:dyDescent="0.25">
      <c r="A41" t="s">
        <v>54</v>
      </c>
      <c r="B41">
        <v>1</v>
      </c>
      <c r="C41">
        <v>3440.34</v>
      </c>
      <c r="D41">
        <v>1.6390353383868288E-2</v>
      </c>
      <c r="E41">
        <v>1.25</v>
      </c>
      <c r="F41">
        <v>0.13500000000000001</v>
      </c>
      <c r="G41" t="s">
        <v>101</v>
      </c>
      <c r="H41">
        <v>1</v>
      </c>
    </row>
    <row r="42" spans="1:8" x14ac:dyDescent="0.25">
      <c r="A42" t="s">
        <v>56</v>
      </c>
      <c r="B42">
        <v>1</v>
      </c>
      <c r="C42">
        <v>1227.06</v>
      </c>
      <c r="D42">
        <v>1.8311078874370119E-2</v>
      </c>
      <c r="E42">
        <v>1</v>
      </c>
      <c r="F42">
        <v>0.1525</v>
      </c>
      <c r="G42" t="s">
        <v>101</v>
      </c>
      <c r="H42">
        <v>1</v>
      </c>
    </row>
    <row r="43" spans="1:8" x14ac:dyDescent="0.25">
      <c r="A43" t="s">
        <v>65</v>
      </c>
      <c r="B43">
        <v>0</v>
      </c>
      <c r="C43">
        <v>2288.61</v>
      </c>
      <c r="D43">
        <v>7.1063593776385546E-3</v>
      </c>
      <c r="E43">
        <v>0</v>
      </c>
      <c r="F43">
        <v>7.4999999999999997E-2</v>
      </c>
      <c r="G43" t="s">
        <v>101</v>
      </c>
      <c r="H43">
        <v>1</v>
      </c>
    </row>
    <row r="44" spans="1:8" x14ac:dyDescent="0.25">
      <c r="A44" t="s">
        <v>58</v>
      </c>
      <c r="B44">
        <v>1</v>
      </c>
      <c r="C44">
        <v>1793.78</v>
      </c>
      <c r="D44">
        <v>1.7646606583001687E-2</v>
      </c>
      <c r="E44">
        <v>5</v>
      </c>
      <c r="F44">
        <v>0.36250000000000004</v>
      </c>
      <c r="G44" t="s">
        <v>21</v>
      </c>
      <c r="H44">
        <v>0</v>
      </c>
    </row>
    <row r="45" spans="1:8" x14ac:dyDescent="0.25">
      <c r="A45" t="s">
        <v>75</v>
      </c>
      <c r="B45">
        <v>0</v>
      </c>
      <c r="C45">
        <v>755.74</v>
      </c>
      <c r="D45">
        <v>0.33797721579848389</v>
      </c>
      <c r="E45">
        <v>1</v>
      </c>
      <c r="F45">
        <v>2.0425</v>
      </c>
      <c r="G45" t="s">
        <v>101</v>
      </c>
      <c r="H45">
        <v>1</v>
      </c>
    </row>
    <row r="46" spans="1:8" x14ac:dyDescent="0.25">
      <c r="A46" t="s">
        <v>60</v>
      </c>
      <c r="B46">
        <v>1</v>
      </c>
      <c r="C46">
        <v>2500.54</v>
      </c>
      <c r="D46">
        <v>2.2383913550309491E-2</v>
      </c>
      <c r="E46">
        <v>7.5</v>
      </c>
      <c r="F46">
        <v>1.5524999999999998</v>
      </c>
      <c r="G46" t="s">
        <v>101</v>
      </c>
      <c r="H46">
        <v>1</v>
      </c>
    </row>
  </sheetData>
  <autoFilter ref="A1:H46" xr:uid="{45A0D444-325E-4100-A8BC-8800DEF7DB2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C10C0-FAAB-4512-B335-36E1A225DA30}">
  <sheetPr filterMode="1"/>
  <dimension ref="A1:F46"/>
  <sheetViews>
    <sheetView workbookViewId="0">
      <selection activeCell="D49" sqref="D49"/>
    </sheetView>
  </sheetViews>
  <sheetFormatPr defaultRowHeight="15" x14ac:dyDescent="0.25"/>
  <cols>
    <col min="1" max="1" width="22.5703125" bestFit="1" customWidth="1"/>
    <col min="2" max="5" width="5" bestFit="1" customWidth="1"/>
    <col min="6" max="6" width="10.140625" bestFit="1" customWidth="1"/>
  </cols>
  <sheetData>
    <row r="1" spans="1:6" x14ac:dyDescent="0.25">
      <c r="A1" t="s">
        <v>1</v>
      </c>
      <c r="B1">
        <v>2022</v>
      </c>
      <c r="C1">
        <v>2023</v>
      </c>
      <c r="D1">
        <v>2024</v>
      </c>
      <c r="E1">
        <v>2025</v>
      </c>
      <c r="F1" t="s">
        <v>97</v>
      </c>
    </row>
    <row r="2" spans="1:6" hidden="1" x14ac:dyDescent="0.25">
      <c r="A2" t="s">
        <v>3</v>
      </c>
    </row>
    <row r="3" spans="1:6" hidden="1" x14ac:dyDescent="0.25">
      <c r="A3" t="s">
        <v>77</v>
      </c>
    </row>
    <row r="4" spans="1:6" hidden="1" x14ac:dyDescent="0.25">
      <c r="A4" t="s">
        <v>64</v>
      </c>
    </row>
    <row r="5" spans="1:6" hidden="1" x14ac:dyDescent="0.25">
      <c r="A5" t="s">
        <v>78</v>
      </c>
    </row>
    <row r="6" spans="1:6" hidden="1" x14ac:dyDescent="0.25">
      <c r="A6" t="s">
        <v>72</v>
      </c>
    </row>
    <row r="7" spans="1:6" x14ac:dyDescent="0.25">
      <c r="A7" s="3" t="s">
        <v>5</v>
      </c>
      <c r="B7">
        <v>0.49</v>
      </c>
      <c r="C7">
        <v>0.21</v>
      </c>
      <c r="D7">
        <v>0.2</v>
      </c>
      <c r="E7">
        <v>0.26</v>
      </c>
      <c r="F7">
        <f>AVERAGE(B7:E7)</f>
        <v>0.28999999999999998</v>
      </c>
    </row>
    <row r="8" spans="1:6" hidden="1" x14ac:dyDescent="0.25">
      <c r="A8" t="s">
        <v>70</v>
      </c>
    </row>
    <row r="9" spans="1:6" hidden="1" x14ac:dyDescent="0.25">
      <c r="A9" t="s">
        <v>7</v>
      </c>
    </row>
    <row r="10" spans="1:6" hidden="1" x14ac:dyDescent="0.25">
      <c r="A10" t="s">
        <v>9</v>
      </c>
    </row>
    <row r="11" spans="1:6" hidden="1" x14ac:dyDescent="0.25">
      <c r="A11" t="s">
        <v>68</v>
      </c>
    </row>
    <row r="12" spans="1:6" hidden="1" x14ac:dyDescent="0.25">
      <c r="A12" t="s">
        <v>11</v>
      </c>
    </row>
    <row r="13" spans="1:6" x14ac:dyDescent="0.25">
      <c r="A13" s="3" t="s">
        <v>13</v>
      </c>
      <c r="B13">
        <v>0.09</v>
      </c>
      <c r="C13">
        <v>7.0000000000000007E-2</v>
      </c>
      <c r="D13">
        <v>0.06</v>
      </c>
      <c r="E13">
        <v>0.13</v>
      </c>
      <c r="F13">
        <f t="shared" ref="F13:F46" si="0">AVERAGE(B13:E13)</f>
        <v>8.7499999999999994E-2</v>
      </c>
    </row>
    <row r="14" spans="1:6" hidden="1" x14ac:dyDescent="0.25">
      <c r="A14" t="s">
        <v>15</v>
      </c>
    </row>
    <row r="15" spans="1:6" x14ac:dyDescent="0.25">
      <c r="A15" s="3" t="s">
        <v>17</v>
      </c>
      <c r="B15">
        <v>0.23</v>
      </c>
      <c r="C15">
        <v>0.11</v>
      </c>
      <c r="D15">
        <v>0.08</v>
      </c>
      <c r="E15">
        <v>0.11</v>
      </c>
      <c r="F15">
        <f t="shared" si="0"/>
        <v>0.13250000000000001</v>
      </c>
    </row>
    <row r="16" spans="1:6" x14ac:dyDescent="0.25">
      <c r="A16" s="3" t="s">
        <v>19</v>
      </c>
      <c r="B16">
        <v>0.92</v>
      </c>
      <c r="C16">
        <v>0.59</v>
      </c>
      <c r="D16">
        <v>0.68</v>
      </c>
      <c r="E16">
        <v>0.86</v>
      </c>
      <c r="F16">
        <f t="shared" si="0"/>
        <v>0.76249999999999996</v>
      </c>
    </row>
    <row r="17" spans="1:6" hidden="1" x14ac:dyDescent="0.25">
      <c r="A17" t="s">
        <v>76</v>
      </c>
    </row>
    <row r="18" spans="1:6" x14ac:dyDescent="0.25">
      <c r="A18" s="3" t="s">
        <v>21</v>
      </c>
      <c r="B18">
        <v>1.25</v>
      </c>
      <c r="C18">
        <v>0.63</v>
      </c>
      <c r="D18">
        <v>0.56000000000000005</v>
      </c>
      <c r="E18">
        <v>0.74</v>
      </c>
      <c r="F18">
        <f t="shared" si="0"/>
        <v>0.79499999999999993</v>
      </c>
    </row>
    <row r="19" spans="1:6" hidden="1" x14ac:dyDescent="0.25">
      <c r="A19" t="s">
        <v>23</v>
      </c>
    </row>
    <row r="20" spans="1:6" x14ac:dyDescent="0.25">
      <c r="A20" s="3" t="s">
        <v>25</v>
      </c>
      <c r="B20">
        <v>0.21</v>
      </c>
      <c r="C20">
        <v>0.09</v>
      </c>
      <c r="D20">
        <v>0.1</v>
      </c>
      <c r="E20">
        <v>0.12</v>
      </c>
      <c r="F20">
        <f t="shared" si="0"/>
        <v>0.13</v>
      </c>
    </row>
    <row r="21" spans="1:6" hidden="1" x14ac:dyDescent="0.25">
      <c r="A21" t="s">
        <v>27</v>
      </c>
    </row>
    <row r="22" spans="1:6" hidden="1" x14ac:dyDescent="0.25">
      <c r="A22" t="s">
        <v>66</v>
      </c>
    </row>
    <row r="23" spans="1:6" x14ac:dyDescent="0.25">
      <c r="A23" s="3" t="s">
        <v>29</v>
      </c>
      <c r="B23">
        <v>0.35</v>
      </c>
      <c r="C23">
        <v>0.17</v>
      </c>
      <c r="D23">
        <v>0.19</v>
      </c>
      <c r="E23">
        <v>0.26</v>
      </c>
      <c r="F23">
        <f t="shared" si="0"/>
        <v>0.24249999999999999</v>
      </c>
    </row>
    <row r="24" spans="1:6" hidden="1" x14ac:dyDescent="0.25">
      <c r="A24" t="s">
        <v>74</v>
      </c>
    </row>
    <row r="25" spans="1:6" hidden="1" x14ac:dyDescent="0.25">
      <c r="A25" t="s">
        <v>31</v>
      </c>
    </row>
    <row r="26" spans="1:6" hidden="1" x14ac:dyDescent="0.25">
      <c r="A26" t="s">
        <v>33</v>
      </c>
    </row>
    <row r="27" spans="1:6" hidden="1" x14ac:dyDescent="0.25">
      <c r="A27" t="s">
        <v>35</v>
      </c>
    </row>
    <row r="28" spans="1:6" hidden="1" x14ac:dyDescent="0.25">
      <c r="A28" t="s">
        <v>67</v>
      </c>
    </row>
    <row r="29" spans="1:6" hidden="1" x14ac:dyDescent="0.25">
      <c r="A29" t="s">
        <v>71</v>
      </c>
    </row>
    <row r="30" spans="1:6" hidden="1" x14ac:dyDescent="0.25">
      <c r="A30" t="s">
        <v>36</v>
      </c>
    </row>
    <row r="31" spans="1:6" x14ac:dyDescent="0.25">
      <c r="A31" s="3" t="s">
        <v>38</v>
      </c>
      <c r="B31">
        <v>0.18</v>
      </c>
      <c r="C31">
        <v>0.13</v>
      </c>
      <c r="D31">
        <v>0.12</v>
      </c>
      <c r="E31">
        <v>0.12</v>
      </c>
      <c r="F31">
        <f t="shared" si="0"/>
        <v>0.13750000000000001</v>
      </c>
    </row>
    <row r="32" spans="1:6" hidden="1" x14ac:dyDescent="0.25">
      <c r="A32" t="s">
        <v>40</v>
      </c>
    </row>
    <row r="33" spans="1:6" x14ac:dyDescent="0.25">
      <c r="A33" s="3" t="s">
        <v>42</v>
      </c>
      <c r="B33">
        <v>0.16</v>
      </c>
      <c r="C33">
        <v>0.11</v>
      </c>
      <c r="D33">
        <v>0.09</v>
      </c>
      <c r="E33">
        <v>0.13</v>
      </c>
      <c r="F33">
        <f t="shared" si="0"/>
        <v>0.1225</v>
      </c>
    </row>
    <row r="34" spans="1:6" x14ac:dyDescent="0.25">
      <c r="A34" s="3" t="s">
        <v>44</v>
      </c>
      <c r="B34">
        <v>0.67</v>
      </c>
      <c r="C34">
        <v>0.22</v>
      </c>
      <c r="D34">
        <v>0.16</v>
      </c>
      <c r="E34">
        <v>0.24</v>
      </c>
      <c r="F34">
        <f t="shared" si="0"/>
        <v>0.32250000000000001</v>
      </c>
    </row>
    <row r="35" spans="1:6" x14ac:dyDescent="0.25">
      <c r="A35" s="3" t="s">
        <v>46</v>
      </c>
      <c r="B35">
        <v>0.03</v>
      </c>
      <c r="C35">
        <v>0.02</v>
      </c>
      <c r="D35">
        <v>0.02</v>
      </c>
      <c r="E35">
        <v>0.03</v>
      </c>
      <c r="F35">
        <f t="shared" si="0"/>
        <v>2.5000000000000001E-2</v>
      </c>
    </row>
    <row r="36" spans="1:6" hidden="1" x14ac:dyDescent="0.25">
      <c r="A36" t="s">
        <v>48</v>
      </c>
    </row>
    <row r="37" spans="1:6" x14ac:dyDescent="0.25">
      <c r="A37" s="3" t="s">
        <v>73</v>
      </c>
      <c r="B37">
        <v>3.69</v>
      </c>
      <c r="C37">
        <v>1.9</v>
      </c>
      <c r="D37">
        <v>1.62</v>
      </c>
      <c r="E37">
        <v>1.65</v>
      </c>
      <c r="F37">
        <f t="shared" si="0"/>
        <v>2.2149999999999999</v>
      </c>
    </row>
    <row r="38" spans="1:6" hidden="1" x14ac:dyDescent="0.25">
      <c r="A38" t="s">
        <v>69</v>
      </c>
    </row>
    <row r="39" spans="1:6" hidden="1" x14ac:dyDescent="0.25">
      <c r="A39" t="s">
        <v>50</v>
      </c>
    </row>
    <row r="40" spans="1:6" hidden="1" x14ac:dyDescent="0.25">
      <c r="A40" t="s">
        <v>52</v>
      </c>
    </row>
    <row r="41" spans="1:6" x14ac:dyDescent="0.25">
      <c r="A41" s="3" t="s">
        <v>54</v>
      </c>
      <c r="B41">
        <v>0.17</v>
      </c>
      <c r="C41">
        <v>0.11</v>
      </c>
      <c r="D41">
        <v>0.11</v>
      </c>
      <c r="E41">
        <v>0.15</v>
      </c>
      <c r="F41">
        <f t="shared" si="0"/>
        <v>0.13500000000000001</v>
      </c>
    </row>
    <row r="42" spans="1:6" x14ac:dyDescent="0.25">
      <c r="A42" s="3" t="s">
        <v>56</v>
      </c>
      <c r="B42">
        <v>0.23</v>
      </c>
      <c r="C42">
        <v>0.14000000000000001</v>
      </c>
      <c r="D42">
        <v>0.11</v>
      </c>
      <c r="E42">
        <v>0.13</v>
      </c>
      <c r="F42">
        <f t="shared" si="0"/>
        <v>0.1525</v>
      </c>
    </row>
    <row r="43" spans="1:6" x14ac:dyDescent="0.25">
      <c r="A43" s="3" t="s">
        <v>65</v>
      </c>
      <c r="B43">
        <v>0.09</v>
      </c>
      <c r="C43">
        <v>0.06</v>
      </c>
      <c r="D43">
        <v>0.08</v>
      </c>
      <c r="E43">
        <v>7.0000000000000007E-2</v>
      </c>
      <c r="F43">
        <f t="shared" si="0"/>
        <v>7.4999999999999997E-2</v>
      </c>
    </row>
    <row r="44" spans="1:6" x14ac:dyDescent="0.25">
      <c r="A44" s="3" t="s">
        <v>58</v>
      </c>
      <c r="B44">
        <v>0.45</v>
      </c>
      <c r="C44">
        <v>0.31</v>
      </c>
      <c r="D44">
        <v>0.32</v>
      </c>
      <c r="E44">
        <v>0.37</v>
      </c>
      <c r="F44">
        <f t="shared" si="0"/>
        <v>0.36250000000000004</v>
      </c>
    </row>
    <row r="45" spans="1:6" x14ac:dyDescent="0.25">
      <c r="A45" s="3" t="s">
        <v>75</v>
      </c>
      <c r="B45">
        <v>3.61</v>
      </c>
      <c r="C45">
        <v>1.75</v>
      </c>
      <c r="D45">
        <v>1.41</v>
      </c>
      <c r="E45">
        <v>1.4</v>
      </c>
      <c r="F45">
        <f t="shared" si="0"/>
        <v>2.0425</v>
      </c>
    </row>
    <row r="46" spans="1:6" x14ac:dyDescent="0.25">
      <c r="A46" s="3" t="s">
        <v>60</v>
      </c>
      <c r="B46">
        <v>1.77</v>
      </c>
      <c r="C46">
        <v>1.23</v>
      </c>
      <c r="D46">
        <v>1.52</v>
      </c>
      <c r="E46">
        <v>1.69</v>
      </c>
      <c r="F46">
        <f t="shared" si="0"/>
        <v>1.5524999999999998</v>
      </c>
    </row>
  </sheetData>
  <autoFilter ref="A1:G46" xr:uid="{0DBC10C0-FAAB-4512-B335-36E1A225DA30}">
    <filterColumn colId="5">
      <customFilters>
        <customFilter operator="notEqual" val=" "/>
      </custom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C9A21-4DAE-4263-9D08-617126A0C902}">
  <dimension ref="A1:K46"/>
  <sheetViews>
    <sheetView topLeftCell="A16" workbookViewId="0">
      <selection activeCell="D46" sqref="D46:G46"/>
    </sheetView>
  </sheetViews>
  <sheetFormatPr defaultRowHeight="15" x14ac:dyDescent="0.25"/>
  <cols>
    <col min="1" max="1" width="22.5703125" bestFit="1" customWidth="1"/>
    <col min="2" max="2" width="12" bestFit="1" customWidth="1"/>
    <col min="3" max="3" width="23.28515625" bestFit="1" customWidth="1"/>
    <col min="4" max="4" width="12" bestFit="1" customWidth="1"/>
    <col min="8" max="8" width="12.42578125" bestFit="1" customWidth="1"/>
    <col min="9" max="9" width="13.42578125" bestFit="1" customWidth="1"/>
    <col min="10" max="10" width="18" bestFit="1" customWidth="1"/>
    <col min="11" max="11" width="25" bestFit="1" customWidth="1"/>
  </cols>
  <sheetData>
    <row r="1" spans="1:9" x14ac:dyDescent="0.25">
      <c r="A1" t="s">
        <v>1</v>
      </c>
      <c r="B1" t="s">
        <v>0</v>
      </c>
      <c r="C1" t="s">
        <v>2</v>
      </c>
      <c r="D1">
        <v>2022</v>
      </c>
      <c r="E1">
        <v>2023</v>
      </c>
      <c r="F1">
        <v>2024</v>
      </c>
      <c r="G1">
        <v>2025</v>
      </c>
      <c r="H1" t="s">
        <v>62</v>
      </c>
      <c r="I1" t="s">
        <v>63</v>
      </c>
    </row>
    <row r="2" spans="1:9" x14ac:dyDescent="0.25">
      <c r="A2" t="s">
        <v>3</v>
      </c>
      <c r="B2" t="s">
        <v>4</v>
      </c>
      <c r="C2" s="1">
        <v>2058.9</v>
      </c>
      <c r="D2">
        <v>1.2023769531872841E-2</v>
      </c>
      <c r="E2">
        <v>1.7026776012476506E-2</v>
      </c>
      <c r="F2">
        <v>1.9795698483993811E-2</v>
      </c>
      <c r="G2">
        <v>2.0325031435452803E-2</v>
      </c>
      <c r="H2">
        <f>AVERAGE(D2:G2)</f>
        <v>1.7292818865948991E-2</v>
      </c>
      <c r="I2">
        <v>1</v>
      </c>
    </row>
    <row r="3" spans="1:9" x14ac:dyDescent="0.25">
      <c r="A3" t="s">
        <v>77</v>
      </c>
      <c r="B3" t="s">
        <v>92</v>
      </c>
      <c r="C3">
        <v>1804.07</v>
      </c>
      <c r="D3">
        <v>4.0817459592559398E-2</v>
      </c>
      <c r="E3">
        <v>5.506298148505661E-2</v>
      </c>
      <c r="F3">
        <v>5.4642627971804504E-2</v>
      </c>
      <c r="G3">
        <v>6.0935459852055333E-2</v>
      </c>
      <c r="H3">
        <f>AVERAGE(D3:G3)</f>
        <v>5.2864632225368961E-2</v>
      </c>
      <c r="I3">
        <v>0</v>
      </c>
    </row>
    <row r="4" spans="1:9" x14ac:dyDescent="0.25">
      <c r="A4" t="s">
        <v>64</v>
      </c>
      <c r="B4" t="s">
        <v>79</v>
      </c>
      <c r="C4">
        <v>1669.7</v>
      </c>
      <c r="D4">
        <v>7.643605175745795E-3</v>
      </c>
      <c r="E4">
        <v>8.6242739427416937E-3</v>
      </c>
      <c r="F4">
        <v>9.9051270149627547E-3</v>
      </c>
      <c r="G4">
        <v>1.1006335138112954E-2</v>
      </c>
      <c r="H4">
        <f>AVERAGE(D4:G4)</f>
        <v>9.2948353178907983E-3</v>
      </c>
      <c r="I4">
        <v>0</v>
      </c>
    </row>
    <row r="5" spans="1:9" x14ac:dyDescent="0.25">
      <c r="A5" t="s">
        <v>78</v>
      </c>
      <c r="B5" t="s">
        <v>93</v>
      </c>
      <c r="C5">
        <v>1927.38</v>
      </c>
      <c r="D5">
        <v>3.7953702508048276E-2</v>
      </c>
      <c r="E5">
        <v>4.917500755309092E-2</v>
      </c>
      <c r="F5">
        <v>5.0824778172665175E-2</v>
      </c>
      <c r="G5">
        <v>6.4655059562769984E-2</v>
      </c>
      <c r="H5">
        <f>AVERAGE(D5:G5)</f>
        <v>5.065213694914359E-2</v>
      </c>
      <c r="I5">
        <v>0</v>
      </c>
    </row>
    <row r="6" spans="1:9" x14ac:dyDescent="0.25">
      <c r="A6" t="s">
        <v>72</v>
      </c>
      <c r="B6" t="s">
        <v>87</v>
      </c>
      <c r="C6">
        <v>675.76</v>
      </c>
      <c r="D6">
        <v>1.6285504875065165E-2</v>
      </c>
      <c r="E6">
        <v>1.9280723405621904E-2</v>
      </c>
      <c r="F6">
        <v>1.9795747379827307E-2</v>
      </c>
      <c r="G6">
        <v>2.3973873975455792E-2</v>
      </c>
      <c r="H6">
        <f>AVERAGE(D6:G6)</f>
        <v>1.9833962408992541E-2</v>
      </c>
      <c r="I6">
        <v>0</v>
      </c>
    </row>
    <row r="7" spans="1:9" x14ac:dyDescent="0.25">
      <c r="A7" t="s">
        <v>5</v>
      </c>
      <c r="B7" t="s">
        <v>6</v>
      </c>
      <c r="C7" s="1">
        <v>2252.9899999999998</v>
      </c>
      <c r="D7">
        <v>1.1670931399473124E-2</v>
      </c>
      <c r="E7">
        <v>1.1723236787370287E-2</v>
      </c>
      <c r="F7">
        <v>1.2760212539083673E-2</v>
      </c>
      <c r="G7">
        <v>2.008893871208229E-2</v>
      </c>
      <c r="H7">
        <f>AVERAGE(D7:G7)</f>
        <v>1.4060829859502343E-2</v>
      </c>
      <c r="I7">
        <v>1</v>
      </c>
    </row>
    <row r="8" spans="1:9" x14ac:dyDescent="0.25">
      <c r="A8" t="s">
        <v>70</v>
      </c>
      <c r="B8" t="s">
        <v>85</v>
      </c>
      <c r="C8">
        <v>1898.45</v>
      </c>
      <c r="D8">
        <v>7.5202873074921789E-3</v>
      </c>
      <c r="E8">
        <v>7.857723533323235E-3</v>
      </c>
      <c r="F8">
        <v>7.6221540607898904E-3</v>
      </c>
      <c r="G8">
        <v>7.2833029003416148E-3</v>
      </c>
      <c r="H8">
        <f>AVERAGE(D8:G8)</f>
        <v>7.57086695048673E-3</v>
      </c>
      <c r="I8">
        <v>0</v>
      </c>
    </row>
    <row r="9" spans="1:9" x14ac:dyDescent="0.25">
      <c r="A9" t="s">
        <v>7</v>
      </c>
      <c r="B9" t="s">
        <v>8</v>
      </c>
      <c r="C9" s="1">
        <v>1777.41</v>
      </c>
      <c r="D9">
        <v>1.5871290769608335E-2</v>
      </c>
      <c r="E9">
        <v>1.9483430853890784E-2</v>
      </c>
      <c r="F9">
        <v>1.9345372977936967E-2</v>
      </c>
      <c r="G9">
        <v>2.0063745774838691E-2</v>
      </c>
      <c r="H9">
        <f>AVERAGE(D9:G9)</f>
        <v>1.8690960094068693E-2</v>
      </c>
      <c r="I9">
        <v>1</v>
      </c>
    </row>
    <row r="10" spans="1:9" x14ac:dyDescent="0.25">
      <c r="A10" t="s">
        <v>9</v>
      </c>
      <c r="B10" t="s">
        <v>10</v>
      </c>
      <c r="C10" s="1">
        <v>1867.28</v>
      </c>
      <c r="D10">
        <v>1.802906750360489E-2</v>
      </c>
      <c r="E10">
        <v>1.6467488615480856E-2</v>
      </c>
      <c r="F10">
        <v>1.8625175272879334E-2</v>
      </c>
      <c r="G10">
        <v>2.0185583436731751E-2</v>
      </c>
      <c r="H10">
        <f>AVERAGE(D10:G10)</f>
        <v>1.8326828707174208E-2</v>
      </c>
      <c r="I10">
        <v>1</v>
      </c>
    </row>
    <row r="11" spans="1:9" x14ac:dyDescent="0.25">
      <c r="A11" t="s">
        <v>68</v>
      </c>
      <c r="B11" t="s">
        <v>83</v>
      </c>
      <c r="C11">
        <v>2309.9699999999998</v>
      </c>
      <c r="D11">
        <v>1.7078535525866932E-2</v>
      </c>
      <c r="E11">
        <v>1.5946777898499513E-2</v>
      </c>
      <c r="F11">
        <v>1.5846917511387421E-2</v>
      </c>
      <c r="G11">
        <v>1.605310961570736E-2</v>
      </c>
      <c r="H11">
        <f>AVERAGE(D11:G11)</f>
        <v>1.6231335137865305E-2</v>
      </c>
      <c r="I11">
        <v>0</v>
      </c>
    </row>
    <row r="12" spans="1:9" x14ac:dyDescent="0.25">
      <c r="A12" t="s">
        <v>11</v>
      </c>
      <c r="B12" t="s">
        <v>12</v>
      </c>
      <c r="C12" s="1">
        <v>1667.65</v>
      </c>
      <c r="D12">
        <v>1.2880659393532251E-2</v>
      </c>
      <c r="E12">
        <v>1.3146284003652906E-2</v>
      </c>
      <c r="F12">
        <v>1.8763857460166473E-2</v>
      </c>
      <c r="G12">
        <v>1.8356469694020789E-2</v>
      </c>
      <c r="H12">
        <f>AVERAGE(D12:G12)</f>
        <v>1.5786817637843103E-2</v>
      </c>
      <c r="I12">
        <v>1</v>
      </c>
    </row>
    <row r="13" spans="1:9" x14ac:dyDescent="0.25">
      <c r="A13" t="s">
        <v>13</v>
      </c>
      <c r="B13" t="s">
        <v>14</v>
      </c>
      <c r="C13" s="1">
        <v>1560.42</v>
      </c>
      <c r="D13">
        <v>1.3677962735186991E-2</v>
      </c>
      <c r="E13">
        <v>2.0122457124644798E-2</v>
      </c>
      <c r="F13">
        <v>2.2686290435902711E-2</v>
      </c>
      <c r="G13">
        <v>3.2528520512050407E-2</v>
      </c>
      <c r="H13">
        <f>AVERAGE(D13:G13)</f>
        <v>2.2253807701946227E-2</v>
      </c>
      <c r="I13">
        <v>1</v>
      </c>
    </row>
    <row r="14" spans="1:9" x14ac:dyDescent="0.25">
      <c r="A14" t="s">
        <v>15</v>
      </c>
      <c r="B14" t="s">
        <v>16</v>
      </c>
      <c r="C14">
        <v>866.96</v>
      </c>
      <c r="D14">
        <v>2.1431959374882244E-2</v>
      </c>
      <c r="E14">
        <v>2.9827852332715003E-2</v>
      </c>
      <c r="F14">
        <v>3.3025708930498429E-2</v>
      </c>
      <c r="G14">
        <v>3.3744178007927589E-2</v>
      </c>
      <c r="H14">
        <f>AVERAGE(D14:G14)</f>
        <v>2.9507424661505816E-2</v>
      </c>
      <c r="I14">
        <v>1</v>
      </c>
    </row>
    <row r="15" spans="1:9" x14ac:dyDescent="0.25">
      <c r="A15" t="s">
        <v>17</v>
      </c>
      <c r="B15" t="s">
        <v>18</v>
      </c>
      <c r="C15">
        <v>892.29</v>
      </c>
      <c r="D15">
        <v>1.5896067785146635E-2</v>
      </c>
      <c r="E15">
        <v>2.008945640063332E-2</v>
      </c>
      <c r="F15">
        <v>2.1771063512137496E-2</v>
      </c>
      <c r="G15">
        <v>2.5711701623670272E-2</v>
      </c>
      <c r="H15">
        <f>AVERAGE(D15:G15)</f>
        <v>2.0867072330396929E-2</v>
      </c>
      <c r="I15">
        <v>1</v>
      </c>
    </row>
    <row r="16" spans="1:9" x14ac:dyDescent="0.25">
      <c r="A16" t="s">
        <v>19</v>
      </c>
      <c r="B16" t="s">
        <v>20</v>
      </c>
      <c r="C16" s="1">
        <v>2486.25</v>
      </c>
      <c r="D16">
        <v>1.958781267742106E-2</v>
      </c>
      <c r="E16">
        <v>1.9481758891564126E-2</v>
      </c>
      <c r="F16">
        <v>2.0115758077871092E-2</v>
      </c>
      <c r="G16">
        <v>2.0266296920856373E-2</v>
      </c>
      <c r="H16">
        <f>AVERAGE(D16:G16)</f>
        <v>1.9862906641928163E-2</v>
      </c>
      <c r="I16">
        <v>1</v>
      </c>
    </row>
    <row r="17" spans="1:11" x14ac:dyDescent="0.25">
      <c r="A17" t="s">
        <v>76</v>
      </c>
      <c r="B17" t="s">
        <v>91</v>
      </c>
      <c r="C17">
        <v>1646.21</v>
      </c>
      <c r="D17">
        <v>1.6078768198308134E-2</v>
      </c>
      <c r="E17">
        <v>1.6455916844115983E-2</v>
      </c>
      <c r="F17">
        <v>1.5930936120181032E-2</v>
      </c>
      <c r="G17">
        <v>1.7458281163597659E-2</v>
      </c>
      <c r="H17">
        <f>AVERAGE(D17:G17)</f>
        <v>1.6480975581550702E-2</v>
      </c>
      <c r="I17">
        <v>0</v>
      </c>
    </row>
    <row r="18" spans="1:11" x14ac:dyDescent="0.25">
      <c r="A18" t="s">
        <v>21</v>
      </c>
      <c r="B18" t="s">
        <v>22</v>
      </c>
      <c r="C18" s="1">
        <v>1608.83</v>
      </c>
      <c r="D18">
        <v>1.3360197924996053E-2</v>
      </c>
      <c r="E18">
        <v>1.5033264680717936E-2</v>
      </c>
      <c r="F18">
        <v>1.8385782299253632E-2</v>
      </c>
      <c r="G18">
        <v>2.2685109251452271E-2</v>
      </c>
      <c r="H18">
        <f>AVERAGE(D18:G18)</f>
        <v>1.7366088539104971E-2</v>
      </c>
      <c r="I18">
        <v>1</v>
      </c>
    </row>
    <row r="19" spans="1:11" x14ac:dyDescent="0.25">
      <c r="A19" t="s">
        <v>23</v>
      </c>
      <c r="B19" t="s">
        <v>24</v>
      </c>
      <c r="C19" s="1">
        <v>2231.02</v>
      </c>
      <c r="D19">
        <v>4.0166918292586125E-2</v>
      </c>
      <c r="E19">
        <v>2.8898075203241114E-2</v>
      </c>
      <c r="F19">
        <v>2.8846484556215773E-2</v>
      </c>
      <c r="G19">
        <v>2.9888142525625296E-2</v>
      </c>
      <c r="H19">
        <f>AVERAGE(D19:G19)</f>
        <v>3.1949905144417076E-2</v>
      </c>
      <c r="I19">
        <v>1</v>
      </c>
    </row>
    <row r="20" spans="1:11" x14ac:dyDescent="0.25">
      <c r="A20" t="s">
        <v>25</v>
      </c>
      <c r="B20" t="s">
        <v>26</v>
      </c>
      <c r="C20" s="1">
        <v>1569.15</v>
      </c>
      <c r="D20">
        <v>1.8391299500970609E-2</v>
      </c>
      <c r="E20">
        <v>2.0439015389918179E-2</v>
      </c>
      <c r="F20">
        <v>2.1249203660402095E-2</v>
      </c>
      <c r="G20">
        <v>2.0368010224634182E-2</v>
      </c>
      <c r="H20">
        <f>AVERAGE(D20:G20)</f>
        <v>2.0111882193981266E-2</v>
      </c>
      <c r="I20">
        <v>1</v>
      </c>
    </row>
    <row r="21" spans="1:11" x14ac:dyDescent="0.25">
      <c r="A21" t="s">
        <v>27</v>
      </c>
      <c r="B21" t="s">
        <v>28</v>
      </c>
      <c r="C21" s="1">
        <v>3307.63</v>
      </c>
      <c r="D21">
        <v>0</v>
      </c>
      <c r="E21">
        <v>0</v>
      </c>
      <c r="F21">
        <v>0</v>
      </c>
      <c r="G21">
        <v>0</v>
      </c>
      <c r="H21">
        <f>AVERAGE(D21:G21)</f>
        <v>0</v>
      </c>
      <c r="I21">
        <v>1</v>
      </c>
    </row>
    <row r="22" spans="1:11" x14ac:dyDescent="0.25">
      <c r="A22" t="s">
        <v>66</v>
      </c>
      <c r="B22" t="s">
        <v>81</v>
      </c>
      <c r="C22">
        <v>2794.41</v>
      </c>
      <c r="D22">
        <v>2.1259091590145338E-3</v>
      </c>
      <c r="E22">
        <v>2.2388710278815897E-3</v>
      </c>
      <c r="F22">
        <v>2.1887218828687853E-3</v>
      </c>
      <c r="G22">
        <v>2.1912979177091934E-3</v>
      </c>
      <c r="H22">
        <f>AVERAGE(D22:G22)</f>
        <v>2.1861999968685259E-3</v>
      </c>
      <c r="I22">
        <v>0</v>
      </c>
    </row>
    <row r="23" spans="1:11" x14ac:dyDescent="0.25">
      <c r="A23" t="s">
        <v>29</v>
      </c>
      <c r="B23" t="s">
        <v>30</v>
      </c>
      <c r="C23" s="1">
        <v>2375.33</v>
      </c>
      <c r="D23">
        <v>1.6019037546483546E-2</v>
      </c>
      <c r="E23">
        <v>1.533952857406955E-2</v>
      </c>
      <c r="F23">
        <v>1.5897659385982865E-2</v>
      </c>
      <c r="G23">
        <v>1.8887272002891593E-2</v>
      </c>
      <c r="H23">
        <f>AVERAGE(D23:G23)</f>
        <v>1.6535874377356888E-2</v>
      </c>
      <c r="I23">
        <v>1</v>
      </c>
    </row>
    <row r="24" spans="1:11" x14ac:dyDescent="0.25">
      <c r="A24" t="s">
        <v>74</v>
      </c>
      <c r="B24" t="s">
        <v>89</v>
      </c>
      <c r="C24">
        <v>1873.73</v>
      </c>
      <c r="D24">
        <v>1.1500461457350886E-2</v>
      </c>
      <c r="E24">
        <v>1.2735135179807584E-2</v>
      </c>
      <c r="F24">
        <v>1.4786814384413311E-2</v>
      </c>
      <c r="G24">
        <v>1.852817265223786E-2</v>
      </c>
      <c r="H24">
        <f>AVERAGE(D24:G24)</f>
        <v>1.4387645918452409E-2</v>
      </c>
      <c r="I24">
        <v>0</v>
      </c>
    </row>
    <row r="25" spans="1:11" x14ac:dyDescent="0.25">
      <c r="A25" t="s">
        <v>31</v>
      </c>
      <c r="B25" t="s">
        <v>32</v>
      </c>
      <c r="C25">
        <v>841.57</v>
      </c>
      <c r="D25">
        <v>2.2546193105761919E-2</v>
      </c>
      <c r="E25">
        <v>2.9332537597542993E-2</v>
      </c>
      <c r="F25">
        <v>3.2978665256537594E-2</v>
      </c>
      <c r="G25">
        <v>3.6077210002989017E-2</v>
      </c>
      <c r="H25">
        <f>AVERAGE(D25:G25)</f>
        <v>3.0233651490707884E-2</v>
      </c>
      <c r="I25">
        <v>1</v>
      </c>
    </row>
    <row r="26" spans="1:11" x14ac:dyDescent="0.25">
      <c r="A26" t="s">
        <v>33</v>
      </c>
      <c r="B26" t="s">
        <v>34</v>
      </c>
      <c r="C26">
        <v>790.41</v>
      </c>
      <c r="D26">
        <v>2.55872526789621E-2</v>
      </c>
      <c r="E26">
        <v>2.8363187347378773E-2</v>
      </c>
      <c r="F26">
        <v>3.1444552624154638E-2</v>
      </c>
      <c r="G26">
        <v>3.0797536647170588E-2</v>
      </c>
      <c r="H26">
        <f>AVERAGE(D26:G26)</f>
        <v>2.9048132324416526E-2</v>
      </c>
      <c r="I26">
        <v>1</v>
      </c>
    </row>
    <row r="27" spans="1:11" x14ac:dyDescent="0.25">
      <c r="A27" t="s">
        <v>35</v>
      </c>
      <c r="B27" t="s">
        <v>35</v>
      </c>
      <c r="C27" s="1">
        <v>2207.44</v>
      </c>
      <c r="D27">
        <v>5.6575990919526887E-3</v>
      </c>
      <c r="E27">
        <v>6.8101825021937437E-3</v>
      </c>
      <c r="F27">
        <v>6.6336405497870281E-3</v>
      </c>
      <c r="G27">
        <v>8.5105050505050513E-3</v>
      </c>
      <c r="H27">
        <f>AVERAGE(D27:G27)</f>
        <v>6.9029817986096288E-3</v>
      </c>
      <c r="I27">
        <v>1</v>
      </c>
    </row>
    <row r="28" spans="1:11" x14ac:dyDescent="0.25">
      <c r="A28" t="s">
        <v>67</v>
      </c>
      <c r="B28" t="s">
        <v>82</v>
      </c>
      <c r="C28">
        <v>2814.65</v>
      </c>
      <c r="D28">
        <v>4.1986326735171308E-3</v>
      </c>
      <c r="E28">
        <v>3.770731855555768E-3</v>
      </c>
      <c r="F28">
        <v>3.7405793562318643E-3</v>
      </c>
      <c r="G28">
        <v>4.4882883904289409E-3</v>
      </c>
      <c r="H28">
        <f>AVERAGE(D28:G28)</f>
        <v>4.0495580689334267E-3</v>
      </c>
      <c r="I28">
        <v>0</v>
      </c>
    </row>
    <row r="29" spans="1:11" x14ac:dyDescent="0.25">
      <c r="A29" t="s">
        <v>71</v>
      </c>
      <c r="B29" t="s">
        <v>86</v>
      </c>
      <c r="C29">
        <v>1144.6099999999999</v>
      </c>
      <c r="D29">
        <v>3.7426035500545854E-3</v>
      </c>
      <c r="E29">
        <v>5.5173043035320474E-3</v>
      </c>
      <c r="F29">
        <v>5.9999970781524966E-3</v>
      </c>
      <c r="G29">
        <v>5.6030076794200967E-3</v>
      </c>
      <c r="H29">
        <f>AVERAGE(D29:G29)</f>
        <v>5.2157281527898062E-3</v>
      </c>
      <c r="I29">
        <v>0</v>
      </c>
    </row>
    <row r="30" spans="1:11" x14ac:dyDescent="0.25">
      <c r="A30" t="s">
        <v>36</v>
      </c>
      <c r="B30" t="s">
        <v>37</v>
      </c>
      <c r="C30" s="1">
        <v>1983.23</v>
      </c>
      <c r="D30">
        <v>1.5676486317915697E-2</v>
      </c>
      <c r="E30">
        <v>1.4961429930890681E-2</v>
      </c>
      <c r="F30">
        <v>1.8143691107574373E-2</v>
      </c>
      <c r="G30">
        <v>1.8899844431515031E-2</v>
      </c>
      <c r="H30">
        <f>AVERAGE(D30:G30)</f>
        <v>1.6920362946973945E-2</v>
      </c>
      <c r="I30">
        <v>1</v>
      </c>
    </row>
    <row r="31" spans="1:11" x14ac:dyDescent="0.25">
      <c r="A31" t="s">
        <v>38</v>
      </c>
      <c r="B31" t="s">
        <v>39</v>
      </c>
      <c r="C31" s="1">
        <v>2146.98</v>
      </c>
      <c r="D31">
        <v>1.3041999557263892E-2</v>
      </c>
      <c r="E31">
        <v>1.4414119908317638E-2</v>
      </c>
      <c r="F31">
        <v>1.9406499480159187E-2</v>
      </c>
      <c r="G31">
        <v>2.1945445152637934E-2</v>
      </c>
      <c r="H31">
        <f>AVERAGE(D31:G31)</f>
        <v>1.7202016024594664E-2</v>
      </c>
      <c r="I31">
        <v>1</v>
      </c>
      <c r="K31" t="s">
        <v>111</v>
      </c>
    </row>
    <row r="32" spans="1:11" x14ac:dyDescent="0.25">
      <c r="A32" t="s">
        <v>40</v>
      </c>
      <c r="B32" t="s">
        <v>41</v>
      </c>
      <c r="C32" s="1">
        <v>1924.4</v>
      </c>
      <c r="D32">
        <v>1.4877149247278792E-2</v>
      </c>
      <c r="E32">
        <v>1.767848964294589E-2</v>
      </c>
      <c r="F32">
        <v>1.7669572156895866E-2</v>
      </c>
      <c r="G32">
        <v>1.9664112754277915E-2</v>
      </c>
      <c r="H32">
        <f>AVERAGE(D32:G32)</f>
        <v>1.7472330950349616E-2</v>
      </c>
      <c r="I32">
        <v>1</v>
      </c>
    </row>
    <row r="33" spans="1:9" x14ac:dyDescent="0.25">
      <c r="A33" t="s">
        <v>42</v>
      </c>
      <c r="B33" t="s">
        <v>43</v>
      </c>
      <c r="C33" s="1">
        <v>1643.22</v>
      </c>
      <c r="D33">
        <v>1.4580566048103013E-2</v>
      </c>
      <c r="E33">
        <v>1.8220116634934537E-2</v>
      </c>
      <c r="F33">
        <v>2.2316488877548155E-2</v>
      </c>
      <c r="G33">
        <v>3.2784814370343564E-2</v>
      </c>
      <c r="H33">
        <f>AVERAGE(D33:G33)</f>
        <v>2.1975496482732317E-2</v>
      </c>
      <c r="I33">
        <v>1</v>
      </c>
    </row>
    <row r="34" spans="1:9" x14ac:dyDescent="0.25">
      <c r="A34" t="s">
        <v>44</v>
      </c>
      <c r="B34" t="s">
        <v>45</v>
      </c>
      <c r="C34" s="1">
        <v>1150.7</v>
      </c>
      <c r="D34">
        <v>2.2045890642888241E-2</v>
      </c>
      <c r="E34">
        <v>3.2567225938533777E-2</v>
      </c>
      <c r="F34">
        <v>3.7547161135064233E-2</v>
      </c>
      <c r="G34">
        <v>4.4969375748071326E-2</v>
      </c>
      <c r="H34">
        <f>AVERAGE(D34:G34)</f>
        <v>3.4282413366139394E-2</v>
      </c>
      <c r="I34">
        <v>1</v>
      </c>
    </row>
    <row r="35" spans="1:9" x14ac:dyDescent="0.25">
      <c r="A35" t="s">
        <v>46</v>
      </c>
      <c r="B35" t="s">
        <v>47</v>
      </c>
      <c r="C35" s="1">
        <v>3905.89</v>
      </c>
      <c r="D35">
        <v>1.3579437603049888E-2</v>
      </c>
      <c r="E35">
        <v>1.2081998910940809E-2</v>
      </c>
      <c r="F35">
        <v>1.4441589583326142E-2</v>
      </c>
      <c r="G35">
        <v>1.7112082110627345E-2</v>
      </c>
      <c r="H35">
        <f>AVERAGE(D35:G35)</f>
        <v>1.4303777051986044E-2</v>
      </c>
      <c r="I35">
        <v>1</v>
      </c>
    </row>
    <row r="36" spans="1:9" x14ac:dyDescent="0.25">
      <c r="A36" t="s">
        <v>48</v>
      </c>
      <c r="B36" t="s">
        <v>49</v>
      </c>
      <c r="C36" s="1">
        <v>1499.57</v>
      </c>
      <c r="D36">
        <v>1.7562500821538211E-2</v>
      </c>
      <c r="E36">
        <v>1.6174955024342616E-2</v>
      </c>
      <c r="F36">
        <v>2.1735767955505261E-2</v>
      </c>
      <c r="G36">
        <v>2.281166438721189E-2</v>
      </c>
      <c r="H36">
        <f>AVERAGE(D36:G36)</f>
        <v>1.9571222047149492E-2</v>
      </c>
      <c r="I36">
        <v>1</v>
      </c>
    </row>
    <row r="37" spans="1:9" x14ac:dyDescent="0.25">
      <c r="A37" t="s">
        <v>73</v>
      </c>
      <c r="B37" t="s">
        <v>88</v>
      </c>
      <c r="C37" s="2"/>
      <c r="D37">
        <v>4.5558544286682261E-2</v>
      </c>
      <c r="E37">
        <v>5.2717027939170567E-2</v>
      </c>
      <c r="F37">
        <v>6.8741527113979475E-2</v>
      </c>
      <c r="G37">
        <v>7.501484654936362E-2</v>
      </c>
      <c r="H37">
        <f>AVERAGE(D37:G37)</f>
        <v>6.0507986472298977E-2</v>
      </c>
      <c r="I37">
        <v>0</v>
      </c>
    </row>
    <row r="38" spans="1:9" x14ac:dyDescent="0.25">
      <c r="A38" t="s">
        <v>69</v>
      </c>
      <c r="B38" t="s">
        <v>84</v>
      </c>
      <c r="C38">
        <v>1716.28</v>
      </c>
      <c r="D38">
        <v>2.1722730677851722E-2</v>
      </c>
      <c r="E38">
        <v>2.2080368554648622E-2</v>
      </c>
      <c r="F38">
        <v>2.6679990823124302E-2</v>
      </c>
      <c r="G38">
        <v>2.7553912788627778E-2</v>
      </c>
      <c r="H38">
        <f>AVERAGE(D38:G38)</f>
        <v>2.4509250711063104E-2</v>
      </c>
      <c r="I38">
        <v>0</v>
      </c>
    </row>
    <row r="39" spans="1:9" x14ac:dyDescent="0.25">
      <c r="A39" t="s">
        <v>50</v>
      </c>
      <c r="B39" t="s">
        <v>51</v>
      </c>
      <c r="C39" s="1">
        <v>1631.23</v>
      </c>
      <c r="D39">
        <v>1.7847448227752843E-2</v>
      </c>
      <c r="E39">
        <v>1.7355347514658184E-2</v>
      </c>
      <c r="F39">
        <v>1.9772007023864675E-2</v>
      </c>
      <c r="G39">
        <v>2.0319797041979115E-2</v>
      </c>
      <c r="H39">
        <f>AVERAGE(D39:G39)</f>
        <v>1.8823649952063704E-2</v>
      </c>
      <c r="I39">
        <v>1</v>
      </c>
    </row>
    <row r="40" spans="1:9" x14ac:dyDescent="0.25">
      <c r="A40" t="s">
        <v>52</v>
      </c>
      <c r="B40" t="s">
        <v>53</v>
      </c>
      <c r="C40" s="1">
        <v>1932.1</v>
      </c>
      <c r="D40">
        <v>1.2956732487420313E-2</v>
      </c>
      <c r="E40">
        <v>1.3145977973341947E-2</v>
      </c>
      <c r="F40">
        <v>1.3438531321786304E-2</v>
      </c>
      <c r="G40">
        <v>1.5441648249803949E-2</v>
      </c>
      <c r="H40">
        <f>AVERAGE(D40:G40)</f>
        <v>1.3745722508088129E-2</v>
      </c>
      <c r="I40">
        <v>1</v>
      </c>
    </row>
    <row r="41" spans="1:9" x14ac:dyDescent="0.25">
      <c r="A41" t="s">
        <v>54</v>
      </c>
      <c r="B41" t="s">
        <v>55</v>
      </c>
      <c r="C41" s="1">
        <v>3440.34</v>
      </c>
      <c r="D41">
        <v>1.4319863242197806E-2</v>
      </c>
      <c r="E41">
        <v>1.5349257992430034E-2</v>
      </c>
      <c r="F41">
        <v>1.4603080918003174E-2</v>
      </c>
      <c r="G41">
        <v>2.1289211382842128E-2</v>
      </c>
      <c r="H41">
        <f>AVERAGE(D41:G41)</f>
        <v>1.6390353383868288E-2</v>
      </c>
      <c r="I41">
        <v>1</v>
      </c>
    </row>
    <row r="42" spans="1:9" x14ac:dyDescent="0.25">
      <c r="A42" t="s">
        <v>56</v>
      </c>
      <c r="B42" t="s">
        <v>57</v>
      </c>
      <c r="C42" s="1">
        <v>1227.06</v>
      </c>
      <c r="D42">
        <v>1.3426468560738876E-2</v>
      </c>
      <c r="E42">
        <v>1.5173720090239805E-2</v>
      </c>
      <c r="F42">
        <v>1.9932278351101382E-2</v>
      </c>
      <c r="G42">
        <v>2.4711848495400413E-2</v>
      </c>
      <c r="H42">
        <f>AVERAGE(D42:G42)</f>
        <v>1.8311078874370119E-2</v>
      </c>
      <c r="I42">
        <v>1</v>
      </c>
    </row>
    <row r="43" spans="1:9" x14ac:dyDescent="0.25">
      <c r="A43" t="s">
        <v>65</v>
      </c>
      <c r="B43" t="s">
        <v>80</v>
      </c>
      <c r="C43">
        <v>2288.61</v>
      </c>
      <c r="D43">
        <v>6.820613026440327E-3</v>
      </c>
      <c r="E43">
        <v>7.0565902159642393E-3</v>
      </c>
      <c r="F43">
        <v>6.9789888852098744E-3</v>
      </c>
      <c r="G43">
        <v>7.569245382939775E-3</v>
      </c>
      <c r="H43">
        <f>AVERAGE(D43:G43)</f>
        <v>7.1063593776385546E-3</v>
      </c>
      <c r="I43">
        <v>0</v>
      </c>
    </row>
    <row r="44" spans="1:9" x14ac:dyDescent="0.25">
      <c r="A44" t="s">
        <v>58</v>
      </c>
      <c r="B44" t="s">
        <v>59</v>
      </c>
      <c r="C44" s="1">
        <v>1793.78</v>
      </c>
      <c r="D44">
        <v>1.624804171015112E-2</v>
      </c>
      <c r="E44">
        <v>1.685271582274012E-2</v>
      </c>
      <c r="F44">
        <v>1.8403146027679805E-2</v>
      </c>
      <c r="G44">
        <v>1.9082522771435701E-2</v>
      </c>
      <c r="H44">
        <f>AVERAGE(D44:G44)</f>
        <v>1.7646606583001687E-2</v>
      </c>
      <c r="I44">
        <v>1</v>
      </c>
    </row>
    <row r="45" spans="1:9" x14ac:dyDescent="0.25">
      <c r="A45" t="s">
        <v>75</v>
      </c>
      <c r="B45" t="s">
        <v>90</v>
      </c>
      <c r="C45">
        <v>755.74</v>
      </c>
      <c r="D45">
        <v>0.25642410471541566</v>
      </c>
      <c r="E45">
        <v>0.36031412892335968</v>
      </c>
      <c r="F45">
        <v>0.33956044597507218</v>
      </c>
      <c r="G45">
        <v>0.39561018358008804</v>
      </c>
      <c r="H45">
        <f>AVERAGE(D45:G45)</f>
        <v>0.33797721579848389</v>
      </c>
      <c r="I45">
        <v>0</v>
      </c>
    </row>
    <row r="46" spans="1:9" x14ac:dyDescent="0.25">
      <c r="A46" t="s">
        <v>60</v>
      </c>
      <c r="B46" t="s">
        <v>61</v>
      </c>
      <c r="C46" s="1">
        <v>2500.54</v>
      </c>
      <c r="D46">
        <v>2.0117668908714935E-2</v>
      </c>
      <c r="E46">
        <v>2.1518152555732178E-2</v>
      </c>
      <c r="F46">
        <v>2.4367191195539085E-2</v>
      </c>
      <c r="G46">
        <v>2.3532641541251779E-2</v>
      </c>
      <c r="H46">
        <f>AVERAGE(D46:G46)</f>
        <v>2.2383913550309491E-2</v>
      </c>
      <c r="I46">
        <v>1</v>
      </c>
    </row>
  </sheetData>
  <autoFilter ref="A1:I46" xr:uid="{DCDC9A21-4DAE-4263-9D08-617126A0C902}">
    <sortState xmlns:xlrd2="http://schemas.microsoft.com/office/spreadsheetml/2017/richdata2" ref="A2:I46">
      <sortCondition ref="A1:A4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65F22-9904-43A1-860A-FC001DA0535B}">
  <dimension ref="A1:D73"/>
  <sheetViews>
    <sheetView tabSelected="1" topLeftCell="A22" workbookViewId="0">
      <selection activeCell="F9" sqref="F9"/>
    </sheetView>
  </sheetViews>
  <sheetFormatPr defaultRowHeight="15" x14ac:dyDescent="0.25"/>
  <cols>
    <col min="1" max="1" width="15.140625" bestFit="1" customWidth="1"/>
    <col min="2" max="2" width="7" bestFit="1" customWidth="1"/>
    <col min="3" max="3" width="15.7109375" bestFit="1" customWidth="1"/>
    <col min="4" max="4" width="12.85546875" bestFit="1" customWidth="1"/>
  </cols>
  <sheetData>
    <row r="1" spans="1:4" x14ac:dyDescent="0.25">
      <c r="A1" t="s">
        <v>1</v>
      </c>
      <c r="B1" t="s">
        <v>110</v>
      </c>
      <c r="C1" t="s">
        <v>99</v>
      </c>
      <c r="D1" t="s">
        <v>98</v>
      </c>
    </row>
    <row r="2" spans="1:4" x14ac:dyDescent="0.25">
      <c r="A2" t="s">
        <v>5</v>
      </c>
      <c r="B2">
        <v>2022</v>
      </c>
      <c r="C2">
        <v>0.49</v>
      </c>
      <c r="D2">
        <v>1.1670931399473124E-2</v>
      </c>
    </row>
    <row r="3" spans="1:4" x14ac:dyDescent="0.25">
      <c r="A3" t="s">
        <v>5</v>
      </c>
      <c r="B3">
        <v>2023</v>
      </c>
      <c r="C3">
        <v>0.21</v>
      </c>
      <c r="D3">
        <v>1.1723236787370287E-2</v>
      </c>
    </row>
    <row r="4" spans="1:4" x14ac:dyDescent="0.25">
      <c r="A4" t="s">
        <v>5</v>
      </c>
      <c r="B4">
        <v>2024</v>
      </c>
      <c r="C4">
        <v>0.2</v>
      </c>
      <c r="D4">
        <v>1.2760212539083673E-2</v>
      </c>
    </row>
    <row r="5" spans="1:4" x14ac:dyDescent="0.25">
      <c r="A5" t="s">
        <v>5</v>
      </c>
      <c r="B5">
        <v>2025</v>
      </c>
      <c r="C5">
        <v>0.26</v>
      </c>
      <c r="D5">
        <v>2.008893871208229E-2</v>
      </c>
    </row>
    <row r="6" spans="1:4" x14ac:dyDescent="0.25">
      <c r="A6" t="s">
        <v>13</v>
      </c>
      <c r="B6">
        <v>2022</v>
      </c>
      <c r="C6">
        <v>0.09</v>
      </c>
      <c r="D6">
        <v>1.3677962735186991E-2</v>
      </c>
    </row>
    <row r="7" spans="1:4" x14ac:dyDescent="0.25">
      <c r="A7" t="s">
        <v>13</v>
      </c>
      <c r="B7">
        <v>2023</v>
      </c>
      <c r="C7">
        <v>7.0000000000000007E-2</v>
      </c>
      <c r="D7">
        <v>2.0122457124644798E-2</v>
      </c>
    </row>
    <row r="8" spans="1:4" x14ac:dyDescent="0.25">
      <c r="A8" t="s">
        <v>13</v>
      </c>
      <c r="B8">
        <v>2024</v>
      </c>
      <c r="C8">
        <v>0.06</v>
      </c>
      <c r="D8">
        <v>2.2686290435902711E-2</v>
      </c>
    </row>
    <row r="9" spans="1:4" x14ac:dyDescent="0.25">
      <c r="A9" t="s">
        <v>13</v>
      </c>
      <c r="B9">
        <v>2025</v>
      </c>
      <c r="C9">
        <v>0.13</v>
      </c>
      <c r="D9">
        <v>3.2528520512050407E-2</v>
      </c>
    </row>
    <row r="10" spans="1:4" x14ac:dyDescent="0.25">
      <c r="A10" t="s">
        <v>17</v>
      </c>
      <c r="B10">
        <v>2022</v>
      </c>
      <c r="C10">
        <v>0.23</v>
      </c>
      <c r="D10">
        <v>1.5896067785146635E-2</v>
      </c>
    </row>
    <row r="11" spans="1:4" x14ac:dyDescent="0.25">
      <c r="A11" t="s">
        <v>17</v>
      </c>
      <c r="B11">
        <v>2023</v>
      </c>
      <c r="C11">
        <v>0.11</v>
      </c>
      <c r="D11">
        <v>2.008945640063332E-2</v>
      </c>
    </row>
    <row r="12" spans="1:4" x14ac:dyDescent="0.25">
      <c r="A12" t="s">
        <v>17</v>
      </c>
      <c r="B12">
        <v>2024</v>
      </c>
      <c r="C12">
        <v>0.08</v>
      </c>
      <c r="D12">
        <v>2.1771063512137496E-2</v>
      </c>
    </row>
    <row r="13" spans="1:4" x14ac:dyDescent="0.25">
      <c r="A13" t="s">
        <v>17</v>
      </c>
      <c r="B13">
        <v>2025</v>
      </c>
      <c r="C13">
        <v>0.11</v>
      </c>
      <c r="D13">
        <v>2.5711701623670272E-2</v>
      </c>
    </row>
    <row r="14" spans="1:4" x14ac:dyDescent="0.25">
      <c r="A14" t="s">
        <v>19</v>
      </c>
      <c r="B14">
        <v>2022</v>
      </c>
      <c r="C14">
        <v>0.92</v>
      </c>
      <c r="D14">
        <v>1.958781267742106E-2</v>
      </c>
    </row>
    <row r="15" spans="1:4" x14ac:dyDescent="0.25">
      <c r="A15" t="s">
        <v>19</v>
      </c>
      <c r="B15">
        <v>2023</v>
      </c>
      <c r="C15">
        <v>0.59</v>
      </c>
      <c r="D15">
        <v>1.9481758891564126E-2</v>
      </c>
    </row>
    <row r="16" spans="1:4" x14ac:dyDescent="0.25">
      <c r="A16" t="s">
        <v>19</v>
      </c>
      <c r="B16">
        <v>2024</v>
      </c>
      <c r="C16">
        <v>0.68</v>
      </c>
      <c r="D16">
        <v>2.0115758077871092E-2</v>
      </c>
    </row>
    <row r="17" spans="1:4" x14ac:dyDescent="0.25">
      <c r="A17" t="s">
        <v>19</v>
      </c>
      <c r="B17">
        <v>2025</v>
      </c>
      <c r="C17">
        <v>0.86</v>
      </c>
      <c r="D17">
        <v>2.0266296920856373E-2</v>
      </c>
    </row>
    <row r="18" spans="1:4" x14ac:dyDescent="0.25">
      <c r="A18" t="s">
        <v>21</v>
      </c>
      <c r="B18">
        <v>2022</v>
      </c>
      <c r="C18">
        <v>1.25</v>
      </c>
      <c r="D18">
        <v>1.3360197924996053E-2</v>
      </c>
    </row>
    <row r="19" spans="1:4" x14ac:dyDescent="0.25">
      <c r="A19" t="s">
        <v>21</v>
      </c>
      <c r="B19">
        <v>2023</v>
      </c>
      <c r="C19">
        <v>0.63</v>
      </c>
      <c r="D19">
        <v>1.5033264680717936E-2</v>
      </c>
    </row>
    <row r="20" spans="1:4" x14ac:dyDescent="0.25">
      <c r="A20" t="s">
        <v>21</v>
      </c>
      <c r="B20">
        <v>2024</v>
      </c>
      <c r="C20">
        <v>0.56000000000000005</v>
      </c>
      <c r="D20">
        <v>1.8385782299253632E-2</v>
      </c>
    </row>
    <row r="21" spans="1:4" x14ac:dyDescent="0.25">
      <c r="A21" t="s">
        <v>21</v>
      </c>
      <c r="B21">
        <v>2025</v>
      </c>
      <c r="C21">
        <v>0.74</v>
      </c>
      <c r="D21">
        <v>2.2685109251452271E-2</v>
      </c>
    </row>
    <row r="22" spans="1:4" x14ac:dyDescent="0.25">
      <c r="A22" t="s">
        <v>25</v>
      </c>
      <c r="B22">
        <v>2022</v>
      </c>
      <c r="C22">
        <v>0.21</v>
      </c>
      <c r="D22">
        <v>1.8391299500970609E-2</v>
      </c>
    </row>
    <row r="23" spans="1:4" x14ac:dyDescent="0.25">
      <c r="A23" t="s">
        <v>25</v>
      </c>
      <c r="B23">
        <v>2023</v>
      </c>
      <c r="C23">
        <v>0.09</v>
      </c>
      <c r="D23">
        <v>2.0439015389918179E-2</v>
      </c>
    </row>
    <row r="24" spans="1:4" x14ac:dyDescent="0.25">
      <c r="A24" t="s">
        <v>25</v>
      </c>
      <c r="B24">
        <v>2024</v>
      </c>
      <c r="C24">
        <v>0.1</v>
      </c>
      <c r="D24">
        <v>2.1249203660402095E-2</v>
      </c>
    </row>
    <row r="25" spans="1:4" x14ac:dyDescent="0.25">
      <c r="A25" t="s">
        <v>25</v>
      </c>
      <c r="B25">
        <v>2025</v>
      </c>
      <c r="C25">
        <v>0.12</v>
      </c>
      <c r="D25">
        <v>2.0368010224634182E-2</v>
      </c>
    </row>
    <row r="26" spans="1:4" x14ac:dyDescent="0.25">
      <c r="A26" t="s">
        <v>29</v>
      </c>
      <c r="B26">
        <v>2022</v>
      </c>
      <c r="C26">
        <v>0.35</v>
      </c>
      <c r="D26">
        <v>1.6019037546483546E-2</v>
      </c>
    </row>
    <row r="27" spans="1:4" x14ac:dyDescent="0.25">
      <c r="A27" t="s">
        <v>29</v>
      </c>
      <c r="B27">
        <v>2023</v>
      </c>
      <c r="C27">
        <v>0.17</v>
      </c>
      <c r="D27">
        <v>1.533952857406955E-2</v>
      </c>
    </row>
    <row r="28" spans="1:4" x14ac:dyDescent="0.25">
      <c r="A28" t="s">
        <v>29</v>
      </c>
      <c r="B28">
        <v>2024</v>
      </c>
      <c r="C28">
        <v>0.19</v>
      </c>
      <c r="D28">
        <v>1.5897659385982865E-2</v>
      </c>
    </row>
    <row r="29" spans="1:4" x14ac:dyDescent="0.25">
      <c r="A29" t="s">
        <v>29</v>
      </c>
      <c r="B29">
        <v>2025</v>
      </c>
      <c r="C29">
        <v>0.26</v>
      </c>
      <c r="D29">
        <v>1.8887272002891593E-2</v>
      </c>
    </row>
    <row r="30" spans="1:4" x14ac:dyDescent="0.25">
      <c r="A30" t="s">
        <v>38</v>
      </c>
      <c r="B30">
        <v>2022</v>
      </c>
      <c r="C30">
        <v>0.18</v>
      </c>
      <c r="D30">
        <v>1.3041999557263892E-2</v>
      </c>
    </row>
    <row r="31" spans="1:4" x14ac:dyDescent="0.25">
      <c r="A31" t="s">
        <v>38</v>
      </c>
      <c r="B31">
        <v>2023</v>
      </c>
      <c r="C31">
        <v>0.13</v>
      </c>
      <c r="D31">
        <v>1.4414119908317638E-2</v>
      </c>
    </row>
    <row r="32" spans="1:4" x14ac:dyDescent="0.25">
      <c r="A32" t="s">
        <v>38</v>
      </c>
      <c r="B32">
        <v>2024</v>
      </c>
      <c r="C32">
        <v>0.12</v>
      </c>
      <c r="D32">
        <v>1.9406499480159187E-2</v>
      </c>
    </row>
    <row r="33" spans="1:4" x14ac:dyDescent="0.25">
      <c r="A33" t="s">
        <v>38</v>
      </c>
      <c r="B33">
        <v>2025</v>
      </c>
      <c r="C33">
        <v>0.12</v>
      </c>
      <c r="D33">
        <v>2.1945445152637934E-2</v>
      </c>
    </row>
    <row r="34" spans="1:4" x14ac:dyDescent="0.25">
      <c r="A34" t="s">
        <v>42</v>
      </c>
      <c r="B34">
        <v>2022</v>
      </c>
      <c r="C34">
        <v>0.16</v>
      </c>
      <c r="D34">
        <v>1.4580566048103013E-2</v>
      </c>
    </row>
    <row r="35" spans="1:4" x14ac:dyDescent="0.25">
      <c r="A35" t="s">
        <v>42</v>
      </c>
      <c r="B35">
        <v>2023</v>
      </c>
      <c r="C35">
        <v>0.11</v>
      </c>
      <c r="D35">
        <v>1.8220116634934537E-2</v>
      </c>
    </row>
    <row r="36" spans="1:4" x14ac:dyDescent="0.25">
      <c r="A36" t="s">
        <v>42</v>
      </c>
      <c r="B36">
        <v>2024</v>
      </c>
      <c r="C36">
        <v>0.09</v>
      </c>
      <c r="D36">
        <v>2.2316488877548155E-2</v>
      </c>
    </row>
    <row r="37" spans="1:4" x14ac:dyDescent="0.25">
      <c r="A37" t="s">
        <v>42</v>
      </c>
      <c r="B37">
        <v>2025</v>
      </c>
      <c r="C37">
        <v>0.13</v>
      </c>
      <c r="D37">
        <v>3.2784814370343564E-2</v>
      </c>
    </row>
    <row r="38" spans="1:4" x14ac:dyDescent="0.25">
      <c r="A38" t="s">
        <v>44</v>
      </c>
      <c r="B38">
        <v>2022</v>
      </c>
      <c r="C38">
        <v>0.67</v>
      </c>
      <c r="D38">
        <v>2.2045890642888241E-2</v>
      </c>
    </row>
    <row r="39" spans="1:4" x14ac:dyDescent="0.25">
      <c r="A39" t="s">
        <v>44</v>
      </c>
      <c r="B39">
        <v>2023</v>
      </c>
      <c r="C39">
        <v>0.22</v>
      </c>
      <c r="D39">
        <v>3.2567225938533777E-2</v>
      </c>
    </row>
    <row r="40" spans="1:4" x14ac:dyDescent="0.25">
      <c r="A40" t="s">
        <v>44</v>
      </c>
      <c r="B40">
        <v>2024</v>
      </c>
      <c r="C40">
        <v>0.16</v>
      </c>
      <c r="D40">
        <v>3.7547161135064233E-2</v>
      </c>
    </row>
    <row r="41" spans="1:4" x14ac:dyDescent="0.25">
      <c r="A41" t="s">
        <v>44</v>
      </c>
      <c r="B41">
        <v>2025</v>
      </c>
      <c r="C41">
        <v>0.24</v>
      </c>
      <c r="D41">
        <v>4.4969375748071326E-2</v>
      </c>
    </row>
    <row r="42" spans="1:4" x14ac:dyDescent="0.25">
      <c r="A42" t="s">
        <v>46</v>
      </c>
      <c r="B42">
        <v>2022</v>
      </c>
      <c r="C42">
        <v>0.03</v>
      </c>
      <c r="D42">
        <v>1.3579437603049888E-2</v>
      </c>
    </row>
    <row r="43" spans="1:4" x14ac:dyDescent="0.25">
      <c r="A43" t="s">
        <v>46</v>
      </c>
      <c r="B43">
        <v>2023</v>
      </c>
      <c r="C43">
        <v>0.02</v>
      </c>
      <c r="D43">
        <v>1.2081998910940809E-2</v>
      </c>
    </row>
    <row r="44" spans="1:4" x14ac:dyDescent="0.25">
      <c r="A44" t="s">
        <v>46</v>
      </c>
      <c r="B44">
        <v>2024</v>
      </c>
      <c r="C44">
        <v>0.02</v>
      </c>
      <c r="D44">
        <v>1.4441589583326142E-2</v>
      </c>
    </row>
    <row r="45" spans="1:4" x14ac:dyDescent="0.25">
      <c r="A45" t="s">
        <v>46</v>
      </c>
      <c r="B45">
        <v>2025</v>
      </c>
      <c r="C45">
        <v>0.03</v>
      </c>
      <c r="D45">
        <v>1.7112082110627345E-2</v>
      </c>
    </row>
    <row r="46" spans="1:4" x14ac:dyDescent="0.25">
      <c r="A46" t="s">
        <v>73</v>
      </c>
      <c r="B46">
        <v>2022</v>
      </c>
      <c r="C46">
        <v>3.69</v>
      </c>
      <c r="D46">
        <v>4.5558544286682261E-2</v>
      </c>
    </row>
    <row r="47" spans="1:4" x14ac:dyDescent="0.25">
      <c r="A47" t="s">
        <v>73</v>
      </c>
      <c r="B47">
        <v>2023</v>
      </c>
      <c r="C47">
        <v>1.9</v>
      </c>
      <c r="D47">
        <v>5.2717027939170567E-2</v>
      </c>
    </row>
    <row r="48" spans="1:4" x14ac:dyDescent="0.25">
      <c r="A48" t="s">
        <v>73</v>
      </c>
      <c r="B48">
        <v>2024</v>
      </c>
      <c r="C48">
        <v>1.62</v>
      </c>
      <c r="D48">
        <v>6.8741527113979475E-2</v>
      </c>
    </row>
    <row r="49" spans="1:4" x14ac:dyDescent="0.25">
      <c r="A49" t="s">
        <v>73</v>
      </c>
      <c r="B49">
        <v>2025</v>
      </c>
      <c r="C49">
        <v>1.65</v>
      </c>
      <c r="D49">
        <v>7.501484654936362E-2</v>
      </c>
    </row>
    <row r="50" spans="1:4" x14ac:dyDescent="0.25">
      <c r="A50" t="s">
        <v>54</v>
      </c>
      <c r="B50">
        <v>2022</v>
      </c>
      <c r="C50">
        <v>0.17</v>
      </c>
      <c r="D50">
        <v>1.4319863242197806E-2</v>
      </c>
    </row>
    <row r="51" spans="1:4" x14ac:dyDescent="0.25">
      <c r="A51" t="s">
        <v>54</v>
      </c>
      <c r="B51">
        <v>2023</v>
      </c>
      <c r="C51">
        <v>0.11</v>
      </c>
      <c r="D51">
        <v>1.5349257992430034E-2</v>
      </c>
    </row>
    <row r="52" spans="1:4" x14ac:dyDescent="0.25">
      <c r="A52" t="s">
        <v>54</v>
      </c>
      <c r="B52">
        <v>2024</v>
      </c>
      <c r="C52">
        <v>0.11</v>
      </c>
      <c r="D52">
        <v>1.4603080918003174E-2</v>
      </c>
    </row>
    <row r="53" spans="1:4" x14ac:dyDescent="0.25">
      <c r="A53" t="s">
        <v>54</v>
      </c>
      <c r="B53">
        <v>2025</v>
      </c>
      <c r="C53">
        <v>0.15</v>
      </c>
      <c r="D53">
        <v>2.1289211382842128E-2</v>
      </c>
    </row>
    <row r="54" spans="1:4" x14ac:dyDescent="0.25">
      <c r="A54" t="s">
        <v>56</v>
      </c>
      <c r="B54">
        <v>2022</v>
      </c>
      <c r="C54">
        <v>0.23</v>
      </c>
      <c r="D54">
        <v>1.3426468560738876E-2</v>
      </c>
    </row>
    <row r="55" spans="1:4" x14ac:dyDescent="0.25">
      <c r="A55" t="s">
        <v>56</v>
      </c>
      <c r="B55">
        <v>2023</v>
      </c>
      <c r="C55">
        <v>0.14000000000000001</v>
      </c>
      <c r="D55">
        <v>1.5173720090239805E-2</v>
      </c>
    </row>
    <row r="56" spans="1:4" x14ac:dyDescent="0.25">
      <c r="A56" t="s">
        <v>56</v>
      </c>
      <c r="B56">
        <v>2024</v>
      </c>
      <c r="C56">
        <v>0.11</v>
      </c>
      <c r="D56">
        <v>1.9932278351101382E-2</v>
      </c>
    </row>
    <row r="57" spans="1:4" x14ac:dyDescent="0.25">
      <c r="A57" t="s">
        <v>56</v>
      </c>
      <c r="B57">
        <v>2025</v>
      </c>
      <c r="C57">
        <v>0.13</v>
      </c>
      <c r="D57">
        <v>2.4711848495400413E-2</v>
      </c>
    </row>
    <row r="58" spans="1:4" x14ac:dyDescent="0.25">
      <c r="A58" t="s">
        <v>65</v>
      </c>
      <c r="B58">
        <v>2022</v>
      </c>
      <c r="C58">
        <v>0.09</v>
      </c>
      <c r="D58">
        <v>6.820613026440327E-3</v>
      </c>
    </row>
    <row r="59" spans="1:4" x14ac:dyDescent="0.25">
      <c r="A59" t="s">
        <v>65</v>
      </c>
      <c r="B59">
        <v>2023</v>
      </c>
      <c r="C59">
        <v>0.06</v>
      </c>
      <c r="D59">
        <v>7.0565902159642393E-3</v>
      </c>
    </row>
    <row r="60" spans="1:4" x14ac:dyDescent="0.25">
      <c r="A60" t="s">
        <v>65</v>
      </c>
      <c r="B60">
        <v>2024</v>
      </c>
      <c r="C60">
        <v>0.08</v>
      </c>
      <c r="D60">
        <v>6.9789888852098744E-3</v>
      </c>
    </row>
    <row r="61" spans="1:4" x14ac:dyDescent="0.25">
      <c r="A61" t="s">
        <v>65</v>
      </c>
      <c r="B61">
        <v>2025</v>
      </c>
      <c r="C61">
        <v>7.0000000000000007E-2</v>
      </c>
      <c r="D61">
        <v>7.569245382939775E-3</v>
      </c>
    </row>
    <row r="62" spans="1:4" x14ac:dyDescent="0.25">
      <c r="A62" t="s">
        <v>58</v>
      </c>
      <c r="B62">
        <v>2022</v>
      </c>
      <c r="C62">
        <v>0.45</v>
      </c>
      <c r="D62">
        <v>1.624804171015112E-2</v>
      </c>
    </row>
    <row r="63" spans="1:4" x14ac:dyDescent="0.25">
      <c r="A63" t="s">
        <v>58</v>
      </c>
      <c r="B63">
        <v>2023</v>
      </c>
      <c r="C63">
        <v>0.31</v>
      </c>
      <c r="D63">
        <v>1.685271582274012E-2</v>
      </c>
    </row>
    <row r="64" spans="1:4" x14ac:dyDescent="0.25">
      <c r="A64" t="s">
        <v>58</v>
      </c>
      <c r="B64">
        <v>2024</v>
      </c>
      <c r="C64">
        <v>0.32</v>
      </c>
      <c r="D64">
        <v>1.8403146027679805E-2</v>
      </c>
    </row>
    <row r="65" spans="1:4" x14ac:dyDescent="0.25">
      <c r="A65" t="s">
        <v>58</v>
      </c>
      <c r="B65">
        <v>2025</v>
      </c>
      <c r="C65">
        <v>0.37</v>
      </c>
      <c r="D65">
        <v>1.9082522771435701E-2</v>
      </c>
    </row>
    <row r="66" spans="1:4" x14ac:dyDescent="0.25">
      <c r="A66" t="s">
        <v>75</v>
      </c>
      <c r="B66">
        <v>2022</v>
      </c>
      <c r="C66">
        <v>3.61</v>
      </c>
      <c r="D66">
        <v>0.25642410471541566</v>
      </c>
    </row>
    <row r="67" spans="1:4" x14ac:dyDescent="0.25">
      <c r="A67" t="s">
        <v>75</v>
      </c>
      <c r="B67">
        <v>2023</v>
      </c>
      <c r="C67">
        <v>1.75</v>
      </c>
      <c r="D67">
        <v>0.36031412892335968</v>
      </c>
    </row>
    <row r="68" spans="1:4" x14ac:dyDescent="0.25">
      <c r="A68" t="s">
        <v>75</v>
      </c>
      <c r="B68">
        <v>2024</v>
      </c>
      <c r="C68">
        <v>1.41</v>
      </c>
      <c r="D68">
        <v>0.33956044597507218</v>
      </c>
    </row>
    <row r="69" spans="1:4" x14ac:dyDescent="0.25">
      <c r="A69" t="s">
        <v>75</v>
      </c>
      <c r="B69">
        <v>2025</v>
      </c>
      <c r="C69">
        <v>1.4</v>
      </c>
      <c r="D69">
        <v>0.39561018358008804</v>
      </c>
    </row>
    <row r="70" spans="1:4" x14ac:dyDescent="0.25">
      <c r="A70" t="s">
        <v>60</v>
      </c>
      <c r="B70">
        <v>2022</v>
      </c>
      <c r="C70">
        <v>1.77</v>
      </c>
      <c r="D70">
        <v>2.0117668908714935E-2</v>
      </c>
    </row>
    <row r="71" spans="1:4" x14ac:dyDescent="0.25">
      <c r="A71" t="s">
        <v>60</v>
      </c>
      <c r="B71">
        <v>2023</v>
      </c>
      <c r="C71">
        <v>1.23</v>
      </c>
      <c r="D71">
        <v>2.1518152555732178E-2</v>
      </c>
    </row>
    <row r="72" spans="1:4" x14ac:dyDescent="0.25">
      <c r="A72" t="s">
        <v>60</v>
      </c>
      <c r="B72">
        <v>2024</v>
      </c>
      <c r="C72">
        <v>1.52</v>
      </c>
      <c r="D72">
        <v>2.4367191195539085E-2</v>
      </c>
    </row>
    <row r="73" spans="1:4" x14ac:dyDescent="0.25">
      <c r="A73" t="s">
        <v>60</v>
      </c>
      <c r="B73">
        <v>2025</v>
      </c>
      <c r="C73">
        <v>1.69</v>
      </c>
      <c r="D73">
        <v>2.3532641541251779E-2</v>
      </c>
    </row>
  </sheetData>
  <autoFilter ref="A1:D73" xr:uid="{47365F22-9904-43A1-860A-FC001DA0535B}">
    <sortState xmlns:xlrd2="http://schemas.microsoft.com/office/spreadsheetml/2017/richdata2" ref="A2:D73">
      <sortCondition ref="A1:A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GPR_Index</vt:lpstr>
      <vt:lpstr>%_GDP</vt:lpstr>
      <vt:lpstr>GPR_Index_Long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Greenwell, Clayton</dc:creator>
  <cp:lastModifiedBy>Greenwell, Clayton</cp:lastModifiedBy>
  <dcterms:created xsi:type="dcterms:W3CDTF">2026-06-09T17:41:42Z</dcterms:created>
  <dcterms:modified xsi:type="dcterms:W3CDTF">2026-06-15T23:43:50Z</dcterms:modified>
</cp:coreProperties>
</file>