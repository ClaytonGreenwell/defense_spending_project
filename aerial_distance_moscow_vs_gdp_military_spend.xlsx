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ygree\Downloads\"/>
    </mc:Choice>
  </mc:AlternateContent>
  <xr:revisionPtr revIDLastSave="0" documentId="13_ncr:1_{91390072-C9F5-4EB1-A739-8DE2D6E12EE7}" xr6:coauthVersionLast="47" xr6:coauthVersionMax="47" xr10:uidLastSave="{00000000-0000-0000-0000-000000000000}"/>
  <bookViews>
    <workbookView xWindow="3165" yWindow="1770" windowWidth="23010" windowHeight="12210" xr2:uid="{336C3657-218C-444C-9E72-EE3C63FFB85B}"/>
  </bookViews>
  <sheets>
    <sheet name="Sheet1" sheetId="1" r:id="rId1"/>
  </sheets>
  <definedNames>
    <definedName name="_xlnm._FilterDatabase" localSheetId="0" hidden="1">Sheet1!$A$1:$H$31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" i="1" l="1"/>
  <c r="H21" i="1"/>
  <c r="H25" i="1"/>
  <c r="H15" i="1"/>
  <c r="H17" i="1"/>
  <c r="H9" i="1"/>
  <c r="H4" i="1"/>
  <c r="H5" i="1"/>
  <c r="H27" i="1"/>
  <c r="H11" i="1"/>
  <c r="H24" i="1"/>
  <c r="H10" i="1"/>
  <c r="H29" i="1"/>
  <c r="H26" i="1"/>
  <c r="H3" i="1"/>
  <c r="H2" i="1"/>
  <c r="H23" i="1"/>
  <c r="H20" i="1"/>
  <c r="H22" i="1"/>
  <c r="H18" i="1"/>
  <c r="H13" i="1"/>
  <c r="H6" i="1"/>
  <c r="H31" i="1"/>
  <c r="H8" i="1"/>
  <c r="H12" i="1"/>
  <c r="H19" i="1"/>
  <c r="H30" i="1"/>
  <c r="H7" i="1"/>
  <c r="H16" i="1"/>
  <c r="H28" i="1"/>
</calcChain>
</file>

<file path=xl/sharedStrings.xml><?xml version="1.0" encoding="utf-8"?>
<sst xmlns="http://schemas.openxmlformats.org/spreadsheetml/2006/main" count="64" uniqueCount="63">
  <si>
    <t>capital</t>
  </si>
  <si>
    <t>country</t>
  </si>
  <si>
    <t>aerial_distance_moscow</t>
  </si>
  <si>
    <t>Albania</t>
  </si>
  <si>
    <t>Tirana</t>
  </si>
  <si>
    <t>Belgium</t>
  </si>
  <si>
    <t>Brussels</t>
  </si>
  <si>
    <t>Bulgaria</t>
  </si>
  <si>
    <t>Sofia</t>
  </si>
  <si>
    <t>Croatia</t>
  </si>
  <si>
    <t>Zagreb</t>
  </si>
  <si>
    <t>Czech Republic</t>
  </si>
  <si>
    <t>Prague</t>
  </si>
  <si>
    <t>Denmark</t>
  </si>
  <si>
    <t>Copenhagen</t>
  </si>
  <si>
    <t>Estonia</t>
  </si>
  <si>
    <t>Tallinn</t>
  </si>
  <si>
    <t>Finland</t>
  </si>
  <si>
    <t>Helsinki</t>
  </si>
  <si>
    <t>France</t>
  </si>
  <si>
    <t>Paris</t>
  </si>
  <si>
    <t>Germany</t>
  </si>
  <si>
    <t>Berlin</t>
  </si>
  <si>
    <t>Greece</t>
  </si>
  <si>
    <t>Athens</t>
  </si>
  <si>
    <t>Hungary</t>
  </si>
  <si>
    <t>Budapest</t>
  </si>
  <si>
    <t>Iceland</t>
  </si>
  <si>
    <t>Reykjavík</t>
  </si>
  <si>
    <t>Italy</t>
  </si>
  <si>
    <t>Rome</t>
  </si>
  <si>
    <t>Latvia</t>
  </si>
  <si>
    <t>Riga</t>
  </si>
  <si>
    <t>Lithuania</t>
  </si>
  <si>
    <t>Vilnius</t>
  </si>
  <si>
    <t>Luxembourg</t>
  </si>
  <si>
    <t>Montenegro</t>
  </si>
  <si>
    <t>Podgorica</t>
  </si>
  <si>
    <t>Netherlands</t>
  </si>
  <si>
    <t>Amsterdam</t>
  </si>
  <si>
    <t>North Macedonia</t>
  </si>
  <si>
    <t>Skopje</t>
  </si>
  <si>
    <t>Norway</t>
  </si>
  <si>
    <t>Oslo</t>
  </si>
  <si>
    <t>Poland</t>
  </si>
  <si>
    <t>Warsaw</t>
  </si>
  <si>
    <t>Portugal</t>
  </si>
  <si>
    <t>Lisbon</t>
  </si>
  <si>
    <t>Romania</t>
  </si>
  <si>
    <t>Bucharest</t>
  </si>
  <si>
    <t>Slovakia</t>
  </si>
  <si>
    <t>Bratislava</t>
  </si>
  <si>
    <t>Slovenia</t>
  </si>
  <si>
    <t>Ljubljana</t>
  </si>
  <si>
    <t>Spain</t>
  </si>
  <si>
    <t>Madrid</t>
  </si>
  <si>
    <t>Sweden</t>
  </si>
  <si>
    <t>Stockholm</t>
  </si>
  <si>
    <t>Turkey</t>
  </si>
  <si>
    <t>Ankara</t>
  </si>
  <si>
    <t>United Kingdom</t>
  </si>
  <si>
    <t>London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</si>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</sst>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9A21-4DAE-4263-9D08-617126A0C902}">
  <dimension ref="A1:H31"/>
  <sheetViews>
    <sheetView tabSelected="1" workbookViewId="0">
      <selection activeCell="C1" sqref="C1"/>
    </sheetView>
  </sheetViews>
  <sheetFormatPr defaultRowHeight="15" x14ac:dyDescent="0.25"/>
  <cols>
    <col min="1" max="1" width="16.42578125" bestFit="1" customWidth="1"/>
    <col min="2" max="2" width="12" bestFit="1" customWidth="1"/>
    <col min="3" max="3" width="23.28515625" bestFit="1" customWidth="1"/>
    <col min="8" max="8" width="12" bestFit="1" customWidth="1"/>
  </cols>
  <sheetData>
    <row r="1" spans="1:8" x14ac:dyDescent="0.25">
      <c r="A1" t="s">
        <v>1</v>
      </c>
      <c r="B1" t="s">
        <v>0</v>
      </c>
      <c r="C1" t="s">
        <v>2</v>
      </c>
      <c r="D1">
        <v>2022</v>
      </c>
      <c r="E1">
        <v>2023</v>
      </c>
      <c r="F1">
        <v>2024</v>
      </c>
      <c r="G1">
        <v>2025</v>
      </c>
      <c r="H1" t="s">
        <v>62</v>
      </c>
    </row>
    <row r="2" spans="1:8" x14ac:dyDescent="0.25">
      <c r="A2" t="s">
        <v>33</v>
      </c>
      <c r="B2" t="s">
        <v>34</v>
      </c>
      <c r="C2">
        <v>790.41</v>
      </c>
      <c r="D2">
        <v>2.55872526789621E-2</v>
      </c>
      <c r="E2">
        <v>2.8363187347378773E-2</v>
      </c>
      <c r="F2">
        <v>3.1444552624154638E-2</v>
      </c>
      <c r="G2">
        <v>3.0797536647170588E-2</v>
      </c>
      <c r="H2">
        <f t="shared" ref="H2:H31" si="0">AVERAGE(D2:G2)</f>
        <v>2.9048132324416526E-2</v>
      </c>
    </row>
    <row r="3" spans="1:8" x14ac:dyDescent="0.25">
      <c r="A3" t="s">
        <v>31</v>
      </c>
      <c r="B3" t="s">
        <v>32</v>
      </c>
      <c r="C3">
        <v>841.57</v>
      </c>
      <c r="D3">
        <v>2.2546193105761919E-2</v>
      </c>
      <c r="E3">
        <v>2.9332537597542993E-2</v>
      </c>
      <c r="F3">
        <v>3.2978665256537594E-2</v>
      </c>
      <c r="G3">
        <v>3.6077210002989017E-2</v>
      </c>
      <c r="H3">
        <f t="shared" si="0"/>
        <v>3.0233651490707884E-2</v>
      </c>
    </row>
    <row r="4" spans="1:8" x14ac:dyDescent="0.25">
      <c r="A4" t="s">
        <v>15</v>
      </c>
      <c r="B4" t="s">
        <v>16</v>
      </c>
      <c r="C4">
        <v>866.96</v>
      </c>
      <c r="D4">
        <v>2.1431959374882244E-2</v>
      </c>
      <c r="E4">
        <v>2.9827852332715003E-2</v>
      </c>
      <c r="F4">
        <v>3.3025708930498429E-2</v>
      </c>
      <c r="G4">
        <v>3.3744178007927589E-2</v>
      </c>
      <c r="H4">
        <f t="shared" si="0"/>
        <v>2.9507424661505816E-2</v>
      </c>
    </row>
    <row r="5" spans="1:8" x14ac:dyDescent="0.25">
      <c r="A5" t="s">
        <v>17</v>
      </c>
      <c r="B5" t="s">
        <v>18</v>
      </c>
      <c r="C5">
        <v>892.29</v>
      </c>
      <c r="D5">
        <v>1.5896067785146635E-2</v>
      </c>
      <c r="E5">
        <v>2.008945640063332E-2</v>
      </c>
      <c r="F5">
        <v>2.1771063512137496E-2</v>
      </c>
      <c r="G5">
        <v>2.5711701623670272E-2</v>
      </c>
      <c r="H5">
        <f t="shared" si="0"/>
        <v>2.0867072330396929E-2</v>
      </c>
    </row>
    <row r="6" spans="1:8" x14ac:dyDescent="0.25">
      <c r="A6" t="s">
        <v>44</v>
      </c>
      <c r="B6" t="s">
        <v>45</v>
      </c>
      <c r="C6" s="1">
        <v>1150.7</v>
      </c>
      <c r="D6">
        <v>2.2045890642888241E-2</v>
      </c>
      <c r="E6">
        <v>3.2567225938533777E-2</v>
      </c>
      <c r="F6">
        <v>3.7547161135064233E-2</v>
      </c>
      <c r="G6">
        <v>4.4969375748071326E-2</v>
      </c>
      <c r="H6">
        <f t="shared" si="0"/>
        <v>3.4282413366139394E-2</v>
      </c>
    </row>
    <row r="7" spans="1:8" x14ac:dyDescent="0.25">
      <c r="A7" t="s">
        <v>56</v>
      </c>
      <c r="B7" t="s">
        <v>57</v>
      </c>
      <c r="C7" s="1">
        <v>1227.06</v>
      </c>
      <c r="D7">
        <v>1.3426468560738876E-2</v>
      </c>
      <c r="E7">
        <v>1.5173720090239805E-2</v>
      </c>
      <c r="F7">
        <v>1.9932278351101382E-2</v>
      </c>
      <c r="G7">
        <v>2.4711848495400413E-2</v>
      </c>
      <c r="H7">
        <f t="shared" si="0"/>
        <v>1.8311078874370119E-2</v>
      </c>
    </row>
    <row r="8" spans="1:8" x14ac:dyDescent="0.25">
      <c r="A8" t="s">
        <v>48</v>
      </c>
      <c r="B8" t="s">
        <v>49</v>
      </c>
      <c r="C8" s="1">
        <v>1499.57</v>
      </c>
      <c r="D8">
        <v>1.7562500821538211E-2</v>
      </c>
      <c r="E8">
        <v>1.6174955024342616E-2</v>
      </c>
      <c r="F8">
        <v>2.1735767955505261E-2</v>
      </c>
      <c r="G8">
        <v>2.281166438721189E-2</v>
      </c>
      <c r="H8">
        <f t="shared" si="0"/>
        <v>1.9571222047149492E-2</v>
      </c>
    </row>
    <row r="9" spans="1:8" x14ac:dyDescent="0.25">
      <c r="A9" t="s">
        <v>13</v>
      </c>
      <c r="B9" t="s">
        <v>14</v>
      </c>
      <c r="C9" s="1">
        <v>1560.42</v>
      </c>
      <c r="D9">
        <v>1.3677962735186991E-2</v>
      </c>
      <c r="E9">
        <v>2.0122457124644798E-2</v>
      </c>
      <c r="F9">
        <v>2.2686290435902711E-2</v>
      </c>
      <c r="G9">
        <v>3.2528520512050407E-2</v>
      </c>
      <c r="H9">
        <f t="shared" si="0"/>
        <v>2.2253807701946227E-2</v>
      </c>
    </row>
    <row r="10" spans="1:8" x14ac:dyDescent="0.25">
      <c r="A10" t="s">
        <v>25</v>
      </c>
      <c r="B10" t="s">
        <v>26</v>
      </c>
      <c r="C10" s="1">
        <v>1569.15</v>
      </c>
      <c r="D10">
        <v>1.8391299500970609E-2</v>
      </c>
      <c r="E10">
        <v>2.0439015389918179E-2</v>
      </c>
      <c r="F10">
        <v>2.1249203660402095E-2</v>
      </c>
      <c r="G10">
        <v>2.0368010224634182E-2</v>
      </c>
      <c r="H10">
        <f t="shared" si="0"/>
        <v>2.0111882193981266E-2</v>
      </c>
    </row>
    <row r="11" spans="1:8" x14ac:dyDescent="0.25">
      <c r="A11" t="s">
        <v>21</v>
      </c>
      <c r="B11" t="s">
        <v>22</v>
      </c>
      <c r="C11" s="1">
        <v>1608.83</v>
      </c>
      <c r="D11">
        <v>1.3360197924996053E-2</v>
      </c>
      <c r="E11">
        <v>1.5033264680717936E-2</v>
      </c>
      <c r="F11">
        <v>1.8385782299253632E-2</v>
      </c>
      <c r="G11">
        <v>2.2685109251452271E-2</v>
      </c>
      <c r="H11">
        <f t="shared" si="0"/>
        <v>1.7366088539104971E-2</v>
      </c>
    </row>
    <row r="12" spans="1:8" x14ac:dyDescent="0.25">
      <c r="A12" t="s">
        <v>50</v>
      </c>
      <c r="B12" t="s">
        <v>51</v>
      </c>
      <c r="C12" s="1">
        <v>1631.23</v>
      </c>
      <c r="D12">
        <v>1.7847448227752843E-2</v>
      </c>
      <c r="E12">
        <v>1.7355347514658184E-2</v>
      </c>
      <c r="F12">
        <v>1.9772007023864675E-2</v>
      </c>
      <c r="G12">
        <v>2.0319797041979115E-2</v>
      </c>
      <c r="H12">
        <f t="shared" si="0"/>
        <v>1.8823649952063704E-2</v>
      </c>
    </row>
    <row r="13" spans="1:8" x14ac:dyDescent="0.25">
      <c r="A13" t="s">
        <v>42</v>
      </c>
      <c r="B13" t="s">
        <v>43</v>
      </c>
      <c r="C13" s="1">
        <v>1643.22</v>
      </c>
      <c r="D13">
        <v>1.4580566048103013E-2</v>
      </c>
      <c r="E13">
        <v>1.8220116634934537E-2</v>
      </c>
      <c r="F13">
        <v>2.2316488877548155E-2</v>
      </c>
      <c r="G13">
        <v>3.2784814370343564E-2</v>
      </c>
      <c r="H13">
        <f t="shared" si="0"/>
        <v>2.1975496482732317E-2</v>
      </c>
    </row>
    <row r="14" spans="1:8" x14ac:dyDescent="0.25">
      <c r="A14" t="s">
        <v>11</v>
      </c>
      <c r="B14" t="s">
        <v>12</v>
      </c>
      <c r="C14" s="1">
        <v>1667.65</v>
      </c>
      <c r="D14">
        <v>1.2880659393532251E-2</v>
      </c>
      <c r="E14">
        <v>1.3146284003652906E-2</v>
      </c>
      <c r="F14">
        <v>1.8763857460166473E-2</v>
      </c>
      <c r="G14">
        <v>1.8356469694020789E-2</v>
      </c>
      <c r="H14">
        <f t="shared" si="0"/>
        <v>1.5786817637843103E-2</v>
      </c>
    </row>
    <row r="15" spans="1:8" x14ac:dyDescent="0.25">
      <c r="A15" t="s">
        <v>7</v>
      </c>
      <c r="B15" t="s">
        <v>8</v>
      </c>
      <c r="C15" s="1">
        <v>1777.41</v>
      </c>
      <c r="D15">
        <v>1.5871290769608335E-2</v>
      </c>
      <c r="E15">
        <v>1.9483430853890784E-2</v>
      </c>
      <c r="F15">
        <v>1.9345372977936967E-2</v>
      </c>
      <c r="G15">
        <v>2.0063745774838691E-2</v>
      </c>
      <c r="H15">
        <f t="shared" si="0"/>
        <v>1.8690960094068693E-2</v>
      </c>
    </row>
    <row r="16" spans="1:8" x14ac:dyDescent="0.25">
      <c r="A16" t="s">
        <v>58</v>
      </c>
      <c r="B16" t="s">
        <v>59</v>
      </c>
      <c r="C16" s="1">
        <v>1793.78</v>
      </c>
      <c r="D16">
        <v>1.624804171015112E-2</v>
      </c>
      <c r="E16">
        <v>1.685271582274012E-2</v>
      </c>
      <c r="F16">
        <v>1.8403146027679805E-2</v>
      </c>
      <c r="G16">
        <v>1.9082522771435701E-2</v>
      </c>
      <c r="H16">
        <f t="shared" si="0"/>
        <v>1.7646606583001687E-2</v>
      </c>
    </row>
    <row r="17" spans="1:8" x14ac:dyDescent="0.25">
      <c r="A17" t="s">
        <v>9</v>
      </c>
      <c r="B17" t="s">
        <v>10</v>
      </c>
      <c r="C17" s="1">
        <v>1867.28</v>
      </c>
      <c r="D17">
        <v>1.802906750360489E-2</v>
      </c>
      <c r="E17">
        <v>1.6467488615480856E-2</v>
      </c>
      <c r="F17">
        <v>1.8625175272879334E-2</v>
      </c>
      <c r="G17">
        <v>2.0185583436731751E-2</v>
      </c>
      <c r="H17">
        <f t="shared" si="0"/>
        <v>1.8326828707174208E-2</v>
      </c>
    </row>
    <row r="18" spans="1:8" x14ac:dyDescent="0.25">
      <c r="A18" t="s">
        <v>40</v>
      </c>
      <c r="B18" t="s">
        <v>41</v>
      </c>
      <c r="C18" s="1">
        <v>1924.4</v>
      </c>
      <c r="D18">
        <v>1.4877149247278792E-2</v>
      </c>
      <c r="E18">
        <v>1.767848964294589E-2</v>
      </c>
      <c r="F18">
        <v>1.7669572156895866E-2</v>
      </c>
      <c r="G18">
        <v>1.9664112754277915E-2</v>
      </c>
      <c r="H18">
        <f t="shared" si="0"/>
        <v>1.7472330950349616E-2</v>
      </c>
    </row>
    <row r="19" spans="1:8" x14ac:dyDescent="0.25">
      <c r="A19" t="s">
        <v>52</v>
      </c>
      <c r="B19" t="s">
        <v>53</v>
      </c>
      <c r="C19" s="1">
        <v>1932.1</v>
      </c>
      <c r="D19">
        <v>1.2956732487420313E-2</v>
      </c>
      <c r="E19">
        <v>1.3145977973341947E-2</v>
      </c>
      <c r="F19">
        <v>1.3438531321786304E-2</v>
      </c>
      <c r="G19">
        <v>1.5441648249803949E-2</v>
      </c>
      <c r="H19">
        <f t="shared" si="0"/>
        <v>1.3745722508088129E-2</v>
      </c>
    </row>
    <row r="20" spans="1:8" x14ac:dyDescent="0.25">
      <c r="A20" t="s">
        <v>36</v>
      </c>
      <c r="B20" t="s">
        <v>37</v>
      </c>
      <c r="C20" s="1">
        <v>1983.23</v>
      </c>
      <c r="D20">
        <v>1.5676486317915697E-2</v>
      </c>
      <c r="E20">
        <v>1.4961429930890681E-2</v>
      </c>
      <c r="F20">
        <v>1.8143691107574373E-2</v>
      </c>
      <c r="G20">
        <v>1.8899844431515031E-2</v>
      </c>
      <c r="H20">
        <f t="shared" si="0"/>
        <v>1.6920362946973945E-2</v>
      </c>
    </row>
    <row r="21" spans="1:8" x14ac:dyDescent="0.25">
      <c r="A21" t="s">
        <v>3</v>
      </c>
      <c r="B21" t="s">
        <v>4</v>
      </c>
      <c r="C21" s="1">
        <v>2058.9</v>
      </c>
      <c r="D21">
        <v>1.2023769531872841E-2</v>
      </c>
      <c r="E21">
        <v>1.7026776012476506E-2</v>
      </c>
      <c r="F21">
        <v>1.9795698483993811E-2</v>
      </c>
      <c r="G21">
        <v>2.0325031435452803E-2</v>
      </c>
      <c r="H21">
        <f t="shared" si="0"/>
        <v>1.7292818865948991E-2</v>
      </c>
    </row>
    <row r="22" spans="1:8" x14ac:dyDescent="0.25">
      <c r="A22" t="s">
        <v>38</v>
      </c>
      <c r="B22" t="s">
        <v>39</v>
      </c>
      <c r="C22" s="1">
        <v>2146.98</v>
      </c>
      <c r="D22">
        <v>1.3041999557263892E-2</v>
      </c>
      <c r="E22">
        <v>1.4414119908317638E-2</v>
      </c>
      <c r="F22">
        <v>1.9406499480159187E-2</v>
      </c>
      <c r="G22">
        <v>2.1945445152637934E-2</v>
      </c>
      <c r="H22">
        <f t="shared" si="0"/>
        <v>1.7202016024594664E-2</v>
      </c>
    </row>
    <row r="23" spans="1:8" x14ac:dyDescent="0.25">
      <c r="A23" t="s">
        <v>35</v>
      </c>
      <c r="B23" t="s">
        <v>35</v>
      </c>
      <c r="C23" s="1">
        <v>2207.44</v>
      </c>
      <c r="D23">
        <v>5.6575990919526887E-3</v>
      </c>
      <c r="E23">
        <v>6.8101825021937437E-3</v>
      </c>
      <c r="F23">
        <v>6.6336405497870281E-3</v>
      </c>
      <c r="G23">
        <v>8.5105050505050513E-3</v>
      </c>
      <c r="H23">
        <f t="shared" si="0"/>
        <v>6.9029817986096288E-3</v>
      </c>
    </row>
    <row r="24" spans="1:8" x14ac:dyDescent="0.25">
      <c r="A24" t="s">
        <v>23</v>
      </c>
      <c r="B24" t="s">
        <v>24</v>
      </c>
      <c r="C24" s="1">
        <v>2231.02</v>
      </c>
      <c r="D24">
        <v>4.0166918292586125E-2</v>
      </c>
      <c r="E24">
        <v>2.8898075203241114E-2</v>
      </c>
      <c r="F24">
        <v>2.8846484556215773E-2</v>
      </c>
      <c r="G24">
        <v>2.9888142525625296E-2</v>
      </c>
      <c r="H24">
        <f t="shared" si="0"/>
        <v>3.1949905144417076E-2</v>
      </c>
    </row>
    <row r="25" spans="1:8" x14ac:dyDescent="0.25">
      <c r="A25" t="s">
        <v>5</v>
      </c>
      <c r="B25" t="s">
        <v>6</v>
      </c>
      <c r="C25" s="1">
        <v>2252.9899999999998</v>
      </c>
      <c r="D25">
        <v>1.1670931399473124E-2</v>
      </c>
      <c r="E25">
        <v>1.1723236787370287E-2</v>
      </c>
      <c r="F25">
        <v>1.2760212539083673E-2</v>
      </c>
      <c r="G25">
        <v>2.008893871208229E-2</v>
      </c>
      <c r="H25">
        <f t="shared" si="0"/>
        <v>1.4060829859502343E-2</v>
      </c>
    </row>
    <row r="26" spans="1:8" x14ac:dyDescent="0.25">
      <c r="A26" t="s">
        <v>29</v>
      </c>
      <c r="B26" t="s">
        <v>30</v>
      </c>
      <c r="C26" s="1">
        <v>2375.33</v>
      </c>
      <c r="D26">
        <v>1.6019037546483546E-2</v>
      </c>
      <c r="E26">
        <v>1.533952857406955E-2</v>
      </c>
      <c r="F26">
        <v>1.5897659385982865E-2</v>
      </c>
      <c r="G26">
        <v>1.8887272002891593E-2</v>
      </c>
      <c r="H26">
        <f t="shared" si="0"/>
        <v>1.6535874377356888E-2</v>
      </c>
    </row>
    <row r="27" spans="1:8" x14ac:dyDescent="0.25">
      <c r="A27" t="s">
        <v>19</v>
      </c>
      <c r="B27" t="s">
        <v>20</v>
      </c>
      <c r="C27" s="1">
        <v>2486.25</v>
      </c>
      <c r="D27">
        <v>1.958781267742106E-2</v>
      </c>
      <c r="E27">
        <v>1.9481758891564126E-2</v>
      </c>
      <c r="F27">
        <v>2.0115758077871092E-2</v>
      </c>
      <c r="G27">
        <v>2.0266296920856373E-2</v>
      </c>
      <c r="H27">
        <f t="shared" si="0"/>
        <v>1.9862906641928163E-2</v>
      </c>
    </row>
    <row r="28" spans="1:8" x14ac:dyDescent="0.25">
      <c r="A28" t="s">
        <v>60</v>
      </c>
      <c r="B28" t="s">
        <v>61</v>
      </c>
      <c r="C28" s="1">
        <v>2500.54</v>
      </c>
      <c r="D28">
        <v>2.0117668908714935E-2</v>
      </c>
      <c r="E28">
        <v>2.1518152555732178E-2</v>
      </c>
      <c r="F28">
        <v>2.4367191195539085E-2</v>
      </c>
      <c r="G28">
        <v>2.3532641541251779E-2</v>
      </c>
      <c r="H28">
        <f t="shared" si="0"/>
        <v>2.2383913550309491E-2</v>
      </c>
    </row>
    <row r="29" spans="1:8" x14ac:dyDescent="0.25">
      <c r="A29" t="s">
        <v>27</v>
      </c>
      <c r="B29" t="s">
        <v>28</v>
      </c>
      <c r="C29" s="1">
        <v>3307.63</v>
      </c>
      <c r="D29">
        <v>0</v>
      </c>
      <c r="E29">
        <v>0</v>
      </c>
      <c r="F29">
        <v>0</v>
      </c>
      <c r="G29">
        <v>0</v>
      </c>
      <c r="H29">
        <f t="shared" si="0"/>
        <v>0</v>
      </c>
    </row>
    <row r="30" spans="1:8" x14ac:dyDescent="0.25">
      <c r="A30" t="s">
        <v>54</v>
      </c>
      <c r="B30" t="s">
        <v>55</v>
      </c>
      <c r="C30" s="1">
        <v>3440.34</v>
      </c>
      <c r="D30">
        <v>1.4319863242197806E-2</v>
      </c>
      <c r="E30">
        <v>1.5349257992430034E-2</v>
      </c>
      <c r="F30">
        <v>1.4603080918003174E-2</v>
      </c>
      <c r="G30">
        <v>2.1289211382842128E-2</v>
      </c>
      <c r="H30">
        <f t="shared" si="0"/>
        <v>1.6390353383868288E-2</v>
      </c>
    </row>
    <row r="31" spans="1:8" x14ac:dyDescent="0.25">
      <c r="A31" t="s">
        <v>46</v>
      </c>
      <c r="B31" t="s">
        <v>47</v>
      </c>
      <c r="C31" s="1">
        <v>3905.89</v>
      </c>
      <c r="D31">
        <v>1.3579437603049888E-2</v>
      </c>
      <c r="E31">
        <v>1.2081998910940809E-2</v>
      </c>
      <c r="F31">
        <v>1.4441589583326142E-2</v>
      </c>
      <c r="G31">
        <v>1.7112082110627345E-2</v>
      </c>
      <c r="H31">
        <f t="shared" si="0"/>
        <v>1.4303777051986044E-2</v>
      </c>
    </row>
  </sheetData>
  <autoFilter ref="A1:H31" xr:uid="{DCDC9A21-4DAE-4263-9D08-617126A0C902}">
    <sortState xmlns:xlrd2="http://schemas.microsoft.com/office/spreadsheetml/2017/richdata2" ref="A2:H31">
      <sortCondition ref="C1:C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Greenwell, Clayton</dc:creator>
  <cp:lastModifiedBy>Greenwell, Clayton</cp:lastModifiedBy>
  <dcterms:created xsi:type="dcterms:W3CDTF">2026-06-09T17:41:42Z</dcterms:created>
  <dcterms:modified xsi:type="dcterms:W3CDTF">2026-06-09T18:16:38Z</dcterms:modified>
</cp:coreProperties>
</file>